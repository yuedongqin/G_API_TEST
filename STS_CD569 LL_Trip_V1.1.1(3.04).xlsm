
<file path=[Content_Types].xml><?xml version="1.0" encoding="utf-8"?>
<Types xmlns="http://schemas.openxmlformats.org/package/2006/content-types">
  <Default ContentType="application/vnd.ms-office.vbaProject" Extension="bin"/>
  <Default ContentType="application/msword" Extension="doc"/>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3.xml"/>
  <Override ContentType="application/vnd.openxmlformats-officedocument.spreadsheetml.sharedStrings+xml" PartName="/xl/sharedStrings.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01"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YUD1WHU\Desktop\569\"/>
    </mc:Choice>
  </mc:AlternateContent>
  <xr:revisionPtr revIDLastSave="0" documentId="13_ncr:1_{6625D758-67C8-44D1-9EA2-7A45904F2436}" xr6:coauthVersionLast="46" xr6:coauthVersionMax="46" xr10:uidLastSave="{00000000-0000-0000-0000-000000000000}"/>
  <bookViews>
    <workbookView xWindow="-108" yWindow="-108" windowWidth="23256" windowHeight="12720" activeTab="3" xr2:uid="{00000000-000D-0000-FFFF-FFFF00000000}"/>
  </bookViews>
  <sheets>
    <sheet name="Version History" sheetId="3" r:id="rId1"/>
    <sheet name="Summary" sheetId="12" r:id="rId2"/>
    <sheet name="Macro" sheetId="13" r:id="rId3"/>
    <sheet name="Trip" sheetId="1" r:id="rId4"/>
    <sheet name="Check List" sheetId="11" r:id="rId5"/>
    <sheet name="Guidelines" sheetId="7" r:id="rId6"/>
    <sheet name="Info" sheetId="8" r:id="rId7"/>
    <sheet name="Traceability" sheetId="10" r:id="rId8"/>
    <sheet name="Environment" sheetId="9" r:id="rId9"/>
    <sheet name="Help" sheetId="5" r:id="rId10"/>
  </sheet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gsaravanan</author>
    <author>Li Feng (BCMW/EHW)</author>
  </authors>
  <commentList>
    <comment ref="A4" authorId="0" shapeId="0" xr:uid="{00000000-0006-0000-0100-000001000000}">
      <text>
        <r>
          <rPr>
            <sz val="8"/>
            <color indexed="81"/>
            <rFont val="Tahoma"/>
            <family val="2"/>
          </rPr>
          <t>Project Short Name - As given in PIF</t>
        </r>
      </text>
    </comment>
    <comment ref="E5" authorId="1" shapeId="0" xr:uid="{00000000-0006-0000-0100-000002000000}">
      <text>
        <r>
          <rPr>
            <sz val="9"/>
            <color indexed="81"/>
            <rFont val="宋体"/>
            <family val="3"/>
            <charset val="134"/>
          </rPr>
          <t>&lt;Document Name&gt;</t>
        </r>
      </text>
    </comment>
    <comment ref="A9" authorId="0" shapeId="0" xr:uid="{00000000-0006-0000-0100-000003000000}">
      <text>
        <r>
          <rPr>
            <sz val="8"/>
            <color indexed="81"/>
            <rFont val="Tahoma"/>
            <family val="2"/>
          </rPr>
          <t xml:space="preserve">&lt; HW configuration used for testing. For Example: Emulators, Target Hardware, PC etc. and Special equipments used &gt; </t>
        </r>
      </text>
    </comment>
    <comment ref="D9" authorId="0" shapeId="0" xr:uid="{00000000-0006-0000-0100-000004000000}">
      <text>
        <r>
          <rPr>
            <sz val="8"/>
            <color indexed="81"/>
            <rFont val="Tahoma"/>
            <family val="2"/>
          </rPr>
          <t>&lt; SW modules used or required to test / Version of Project etc.  For Example: Library modules &gt;</t>
        </r>
      </text>
    </comment>
    <comment ref="A12" authorId="0" shapeId="0" xr:uid="{00000000-0006-0000-0100-000005000000}">
      <text>
        <r>
          <rPr>
            <sz val="8"/>
            <color indexed="81"/>
            <rFont val="Tahoma"/>
            <family val="2"/>
          </rPr>
          <t>Employee Id in First Cell
Employee Name in Second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Li Feng (BCMW/EHW)</author>
  </authors>
  <commentList>
    <comment ref="B1" authorId="0" shapeId="0" xr:uid="{00000000-0006-0000-0200-000001000000}">
      <text>
        <r>
          <rPr>
            <sz val="9"/>
            <color indexed="81"/>
            <rFont val="宋体"/>
            <family val="3"/>
            <charset val="134"/>
          </rPr>
          <t>Fill in the "test case ID prefix "according to project and function Name</t>
        </r>
      </text>
    </comment>
    <comment ref="B2" authorId="0" shapeId="0" xr:uid="{00000000-0006-0000-0200-000002000000}">
      <text>
        <r>
          <rPr>
            <b/>
            <sz val="9"/>
            <color indexed="81"/>
            <rFont val="宋体"/>
            <family val="3"/>
            <charset val="134"/>
          </rPr>
          <t xml:space="preserve">please list all the CRS Name(along with the Version referred) which is inculded by this test list </t>
        </r>
        <r>
          <rPr>
            <sz val="9"/>
            <color indexed="81"/>
            <rFont val="宋体"/>
            <family val="3"/>
            <charset val="134"/>
          </rPr>
          <t xml:space="preserve">
</t>
        </r>
      </text>
    </comment>
    <comment ref="A3" authorId="0" shapeId="0" xr:uid="{00000000-0006-0000-0200-000003000000}">
      <text>
        <r>
          <rPr>
            <sz val="9"/>
            <color indexed="81"/>
            <rFont val="宋体"/>
            <family val="3"/>
            <charset val="134"/>
          </rPr>
          <t>This column is mandatory for ATS</t>
        </r>
      </text>
    </comment>
    <comment ref="B3" authorId="0" shapeId="0" xr:uid="{00000000-0006-0000-0200-000004000000}">
      <text>
        <r>
          <rPr>
            <sz val="9"/>
            <color indexed="81"/>
            <rFont val="宋体"/>
            <family val="3"/>
            <charset val="134"/>
          </rPr>
          <t>This column is mandatory for ATS</t>
        </r>
      </text>
    </comment>
    <comment ref="C3" authorId="0" shapeId="0" xr:uid="{00000000-0006-0000-0200-000005000000}">
      <text>
        <r>
          <rPr>
            <sz val="9"/>
            <color indexed="81"/>
            <rFont val="宋体"/>
            <family val="3"/>
            <charset val="134"/>
          </rPr>
          <t>Trace to the CRS Function Safety Requirement</t>
        </r>
      </text>
    </comment>
    <comment ref="D3" authorId="0" shapeId="0" xr:uid="{00000000-0006-0000-0200-000006000000}">
      <text>
        <r>
          <rPr>
            <sz val="9"/>
            <color indexed="81"/>
            <rFont val="宋体"/>
            <family val="3"/>
            <charset val="134"/>
          </rPr>
          <t>Trace to the FRS and CR number/Issue number</t>
        </r>
      </text>
    </comment>
  </commentList>
</comments>
</file>

<file path=xl/sharedStrings.xml><?xml version="1.0" encoding="utf-8"?>
<sst xmlns="http://schemas.openxmlformats.org/spreadsheetml/2006/main" count="1177" uniqueCount="1177">
  <si>
    <t>Test Specification</t>
  </si>
  <si>
    <t xml:space="preserve">Revision  History</t>
  </si>
  <si>
    <t>Ver.no</t>
  </si>
  <si>
    <t>Change History</t>
  </si>
  <si>
    <t>Date</t>
  </si>
  <si>
    <t>Changed by</t>
  </si>
  <si>
    <t>Role</t>
  </si>
  <si>
    <t>&lt;Version Number&gt;</t>
  </si>
  <si>
    <t>&lt;Description of the TC update&gt;</t>
  </si>
  <si>
    <t>&lt;Date&gt;</t>
  </si>
  <si>
    <t>&lt;Updator Name&gt;</t>
  </si>
  <si>
    <t>&lt;Action&gt;</t>
  </si>
  <si>
    <t>V1.0</t>
  </si>
  <si>
    <t>first release</t>
  </si>
  <si>
    <t>YinQi</t>
  </si>
  <si>
    <t>Create</t>
  </si>
  <si>
    <t>V1.1</t>
  </si>
  <si>
    <r xmlns="http://schemas.openxmlformats.org/spreadsheetml/2006/main">
      <rPr>
        <sz val="10"/>
        <rFont val="宋体"/>
        <family val="2"/>
        <charset val="134"/>
      </rPr>
      <t>根据</t>
    </r>
    <r xmlns="http://schemas.openxmlformats.org/spreadsheetml/2006/main">
      <rPr>
        <sz val="10"/>
        <rFont val="Arial"/>
        <family val="2"/>
      </rPr>
      <t xml:space="preserve">FRS1.7 </t>
    </r>
    <r xmlns="http://schemas.openxmlformats.org/spreadsheetml/2006/main">
      <rPr>
        <sz val="10"/>
        <rFont val="宋体"/>
        <family val="2"/>
        <charset val="134"/>
      </rPr>
      <t>更新测试用例</t>
    </r>
  </si>
  <si>
    <t>baohua</t>
  </si>
  <si>
    <t>Update</t>
  </si>
  <si>
    <t>V1.1.1</t>
  </si>
  <si>
    <r xmlns="http://schemas.openxmlformats.org/spreadsheetml/2006/main">
      <rPr>
        <sz val="10"/>
        <rFont val="宋体"/>
        <family val="2"/>
        <charset val="134"/>
      </rPr>
      <t>更新</t>
    </r>
    <r xmlns="http://schemas.openxmlformats.org/spreadsheetml/2006/main">
      <rPr>
        <sz val="10"/>
        <rFont val="Arial"/>
        <family val="2"/>
      </rPr>
      <t>112</t>
    </r>
    <r xmlns="http://schemas.openxmlformats.org/spreadsheetml/2006/main">
      <rPr>
        <sz val="10"/>
        <rFont val="宋体"/>
        <family val="2"/>
        <charset val="134"/>
      </rPr>
      <t>行，</t>
    </r>
    <r xmlns="http://schemas.openxmlformats.org/spreadsheetml/2006/main">
      <rPr>
        <sz val="10"/>
        <rFont val="Arial"/>
        <family val="2"/>
      </rPr>
      <t>d2</t>
    </r>
    <r xmlns="http://schemas.openxmlformats.org/spreadsheetml/2006/main">
      <rPr>
        <sz val="10"/>
        <rFont val="宋体"/>
        <family val="2"/>
        <charset val="134"/>
      </rPr>
      <t>模式下不显示小计里程</t>
    </r>
    <phoneticPr xmlns="http://schemas.openxmlformats.org/spreadsheetml/2006/main" fontId="6" type="noConversion"/>
  </si>
  <si>
    <t>ZhangFangye</t>
  </si>
  <si>
    <t>Profile-Summary</t>
  </si>
  <si>
    <t>Unit Testing</t>
  </si>
  <si>
    <t xml:space="preserve">System Testing </t>
  </si>
  <si>
    <t>Section I : Test Specification Profile</t>
  </si>
  <si>
    <t xml:space="preserve">Integration Testing </t>
  </si>
  <si>
    <t>Project Name</t>
  </si>
  <si>
    <t>CD569 LL</t>
  </si>
  <si>
    <t xml:space="preserve">Acceptance Testing </t>
  </si>
  <si>
    <t xml:space="preserve">Range </t>
  </si>
  <si>
    <t>&lt;EST&gt;</t>
  </si>
  <si>
    <t>Group</t>
  </si>
  <si>
    <t>&lt;BiTECH&gt;</t>
  </si>
  <si>
    <t xml:space="preserve">Test specification </t>
  </si>
  <si>
    <t>Testing for entire module/system/feature</t>
  </si>
  <si>
    <t>Functional (Black Box)</t>
  </si>
  <si>
    <t>Level of testing</t>
  </si>
  <si>
    <t>Version of Test specification</t>
  </si>
  <si>
    <t>&lt;1.0&gt;</t>
  </si>
  <si>
    <t>Test specification Author</t>
  </si>
  <si>
    <t>Retesting for entire module/system/ feature</t>
  </si>
  <si>
    <t>structural (White Box)</t>
  </si>
  <si>
    <t xml:space="preserve">Test specification
Releaser</t>
  </si>
  <si>
    <t>Testing for changes + Regression testing</t>
  </si>
  <si>
    <t>Statement</t>
  </si>
  <si>
    <t>Test ENV.</t>
  </si>
  <si>
    <t>Hardware Configuration for testing</t>
  </si>
  <si>
    <t xml:space="preserve">&lt;CANcaseXL,Resistance box, PowerSupply,Test Box,Multimeter…&gt;
</t>
  </si>
  <si>
    <t>Software Configuration</t>
  </si>
  <si>
    <t xml:space="preserve">&lt;CANoe Simulation 8.1 SP3, 
SOFTUNE Workbench V60L11…&gt;</t>
  </si>
  <si>
    <t>Condition</t>
  </si>
  <si>
    <t>Path</t>
  </si>
  <si>
    <t>Section II : Test Report Summary</t>
  </si>
  <si>
    <t>Tester</t>
  </si>
  <si>
    <t>Start of testing</t>
  </si>
  <si>
    <t>End of testing</t>
  </si>
  <si>
    <t>Version of the corresponding test spec document</t>
  </si>
  <si>
    <t>SW Version</t>
  </si>
  <si>
    <t/>
  </si>
  <si>
    <t xml:space="preserve">1. Tested OK and testing closed  </t>
  </si>
  <si>
    <t>Canoe Version</t>
  </si>
  <si>
    <t xml:space="preserve">Simulation Version </t>
  </si>
  <si>
    <t xml:space="preserve">Hardware Version </t>
  </si>
  <si>
    <t>2.Correct errors and re-test for cases in error report and regression test cases</t>
  </si>
  <si>
    <t>Approver</t>
  </si>
  <si>
    <t xml:space="preserve">3.Correct errors and re-test for all cases    </t>
  </si>
  <si>
    <t>Section III: Test Metrics</t>
  </si>
  <si>
    <t>1.Tested OK and testing closed</t>
  </si>
  <si>
    <t>Metric</t>
  </si>
  <si>
    <t>2. Correct errors and re-test for cases in error report and regression test cases</t>
  </si>
  <si>
    <t>Total number of test cases :</t>
  </si>
  <si>
    <t>3.Correct errors and re-test all cases</t>
  </si>
  <si>
    <t>Number of test cases Passed:</t>
  </si>
  <si>
    <t xml:space="preserve">Number of test cases Blocked : </t>
  </si>
  <si>
    <t xml:space="preserve">Number of test cases Failed : </t>
  </si>
  <si>
    <t xml:space="preserve">Number of test cases NA : </t>
  </si>
  <si>
    <t>Total Number of defects:</t>
  </si>
  <si>
    <t>Number of fatal defects:</t>
  </si>
  <si>
    <t>Number of major defects:</t>
  </si>
  <si>
    <t>Number of minor defects :</t>
  </si>
  <si>
    <t>Number of cosmetic defects:</t>
  </si>
  <si>
    <t>Marco Name</t>
  </si>
  <si>
    <t>Status</t>
  </si>
  <si>
    <t>Function</t>
  </si>
  <si>
    <t>Parameters</t>
  </si>
  <si>
    <t>Description</t>
  </si>
  <si>
    <t>System callback</t>
  </si>
  <si>
    <t>mSys_Init</t>
  </si>
  <si>
    <r xmlns="http://schemas.openxmlformats.org/spreadsheetml/2006/main">
      <t>Initialization</t>
    </r>
    <r xmlns="http://schemas.openxmlformats.org/spreadsheetml/2006/main">
      <rPr>
        <sz val="11"/>
        <color theme="1"/>
        <rFont val="Calibri"/>
        <family val="2"/>
        <scheme val="minor"/>
      </rPr>
      <t xml:space="preserve">
</t>
    </r>
    <r xmlns="http://schemas.openxmlformats.org/spreadsheetml/2006/main">
      <rPr>
        <sz val="11"/>
        <color rgb="FFFF0000"/>
        <rFont val="Calibri"/>
        <family val="3"/>
        <charset val="134"/>
        <scheme val="minor"/>
      </rPr>
      <t>Note</t>
    </r>
    <r xmlns="http://schemas.openxmlformats.org/spreadsheetml/2006/main">
      <rPr>
        <sz val="11"/>
        <color theme="1"/>
        <rFont val="Calibri"/>
        <family val="2"/>
        <scheme val="minor"/>
      </rPr>
      <t xml:space="preserve">:System use(once time) only when you start test software!
            You can define many actions in this function,but please </t>
    </r>
    <r xmlns="http://schemas.openxmlformats.org/spreadsheetml/2006/main">
      <rPr>
        <sz val="11"/>
        <color rgb="FFFF0000"/>
        <rFont val="Calibri"/>
        <family val="3"/>
        <charset val="134"/>
        <scheme val="minor"/>
      </rPr>
      <t>NOT</t>
    </r>
    <r xmlns="http://schemas.openxmlformats.org/spreadsheetml/2006/main">
      <rPr>
        <sz val="11"/>
        <color theme="1"/>
        <rFont val="Calibri"/>
        <family val="2"/>
        <scheme val="minor"/>
      </rPr>
      <t xml:space="preserve"> call this marco by manual</t>
    </r>
  </si>
  <si>
    <t>Yes</t>
  </si>
  <si>
    <t>DECL_REG</t>
  </si>
  <si>
    <t>Result1 Result10 Result_SavePicOn Result_SavePicOff</t>
  </si>
  <si>
    <t>DECL_RECT</t>
  </si>
  <si>
    <t>rtLeft rtRight rtLED rtLED1 rtVS</t>
  </si>
  <si>
    <t>Result2 regResult1 Result_ExpectedDisplay</t>
  </si>
  <si>
    <t>Result3 regComments regDigConfig</t>
  </si>
  <si>
    <t>Result4</t>
  </si>
  <si>
    <t>Result5</t>
  </si>
  <si>
    <t>Result6</t>
  </si>
  <si>
    <t>Msg_IPC1 Msg_IPC2 Msg_IPC3 Msg_IPC4 Msg_IPC5</t>
  </si>
  <si>
    <t>Byte0 Byte1 Byte2 Byte3 Byte4 Byte5 Byte6 Byte7</t>
  </si>
  <si>
    <t>CheckSum_0x0E1 CheckSum_0x141 CheckSum_0x53F</t>
  </si>
  <si>
    <t>CheckSum_0x230 CheckSum_0x1E5 CheckSum_0x0C9</t>
  </si>
  <si>
    <t>Reg_RcedMsgContent</t>
  </si>
  <si>
    <t>Reg_Flag_MsgsAlreadySent</t>
  </si>
  <si>
    <t xml:space="preserve">0= not sent;  1=already sent</t>
  </si>
  <si>
    <t>AOI_Left AOI_Top AOI_Width AOI_Height</t>
  </si>
  <si>
    <t>regACK regComment</t>
  </si>
  <si>
    <t>math</t>
  </si>
  <si>
    <t>Reg_Flag_MsgsAlreadySent = 0</t>
  </si>
  <si>
    <t>mSys_EndActions</t>
  </si>
  <si>
    <r xmlns="http://schemas.openxmlformats.org/spreadsheetml/2006/main">
      <rPr>
        <sz val="11"/>
        <color rgb="FFFF0000"/>
        <rFont val="Calibri"/>
        <family val="2"/>
        <scheme val="minor"/>
      </rPr>
      <t>Note</t>
    </r>
    <r xmlns="http://schemas.openxmlformats.org/spreadsheetml/2006/main">
      <rPr>
        <sz val="11"/>
        <color theme="1"/>
        <rFont val="Calibri"/>
        <family val="2"/>
        <scheme val="minor"/>
      </rPr>
      <t xml:space="preserve">:System use  when all actions be executed finish
            You can define many actions in this function,but please </t>
    </r>
    <r xmlns="http://schemas.openxmlformats.org/spreadsheetml/2006/main">
      <rPr>
        <sz val="11"/>
        <color rgb="FFFF0000"/>
        <rFont val="Calibri"/>
        <family val="2"/>
        <scheme val="minor"/>
      </rPr>
      <t>NOT</t>
    </r>
    <r xmlns="http://schemas.openxmlformats.org/spreadsheetml/2006/main">
      <rPr>
        <sz val="11"/>
        <color theme="1"/>
        <rFont val="Calibri"/>
        <family val="2"/>
        <scheme val="minor"/>
      </rPr>
      <t xml:space="preserve"> call this marco by manual</t>
    </r>
  </si>
  <si>
    <t>mSys_Close</t>
  </si>
  <si>
    <r xmlns="http://schemas.openxmlformats.org/spreadsheetml/2006/main">
      <rPr>
        <sz val="11"/>
        <color rgb="FFFF0000"/>
        <rFont val="Calibri"/>
        <family val="2"/>
        <scheme val="minor"/>
      </rPr>
      <t>Note</t>
    </r>
    <r xmlns="http://schemas.openxmlformats.org/spreadsheetml/2006/main">
      <rPr>
        <sz val="11"/>
        <color theme="1"/>
        <rFont val="Calibri"/>
        <family val="2"/>
        <scheme val="minor"/>
      </rPr>
      <t xml:space="preserve">:System use(once time) only when you close test software!
            You can define many actions in this function,but please </t>
    </r>
    <r xmlns="http://schemas.openxmlformats.org/spreadsheetml/2006/main">
      <rPr>
        <sz val="11"/>
        <color rgb="FFFF0000"/>
        <rFont val="Calibri"/>
        <family val="2"/>
        <scheme val="minor"/>
      </rPr>
      <t>NOT</t>
    </r>
    <r xmlns="http://schemas.openxmlformats.org/spreadsheetml/2006/main">
      <rPr>
        <sz val="11"/>
        <color theme="1"/>
        <rFont val="Calibri"/>
        <family val="2"/>
        <scheme val="minor"/>
      </rPr>
      <t xml:space="preserve"> call this marco by manual
</t>
    </r>
  </si>
  <si>
    <t>mSys_NextTestCase</t>
  </si>
  <si>
    <r xmlns="http://schemas.openxmlformats.org/spreadsheetml/2006/main">
      <rPr>
        <sz val="11"/>
        <color rgb="FFFF0000"/>
        <rFont val="Calibri"/>
        <family val="2"/>
        <scheme val="minor"/>
      </rPr>
      <t>Note</t>
    </r>
    <r xmlns="http://schemas.openxmlformats.org/spreadsheetml/2006/main">
      <rPr>
        <sz val="11"/>
        <color theme="1"/>
        <rFont val="Calibri"/>
        <family val="2"/>
        <scheme val="minor"/>
      </rPr>
      <t xml:space="preserve">:System use  when execute testcase from one to another, it's very useful to reset register value
            You can define many actions in this function,but please </t>
    </r>
    <r xmlns="http://schemas.openxmlformats.org/spreadsheetml/2006/main">
      <rPr>
        <sz val="11"/>
        <color rgb="FFFF0000"/>
        <rFont val="Calibri"/>
        <family val="2"/>
        <scheme val="minor"/>
      </rPr>
      <t>NOT</t>
    </r>
    <r xmlns="http://schemas.openxmlformats.org/spreadsheetml/2006/main">
      <rPr>
        <sz val="11"/>
        <color theme="1"/>
        <rFont val="Calibri"/>
        <family val="2"/>
        <scheme val="minor"/>
      </rPr>
      <t xml:space="preserve"> call this marco by manual</t>
    </r>
  </si>
  <si>
    <t>Math</t>
  </si>
  <si>
    <t>Result1 = 0</t>
  </si>
  <si>
    <t>Result10 = 0</t>
  </si>
  <si>
    <t>Result2 = 0</t>
  </si>
  <si>
    <t>Result3 = 0</t>
  </si>
  <si>
    <t>string_cat</t>
  </si>
  <si>
    <t>Result4 ""</t>
  </si>
  <si>
    <t>Result5 ""</t>
  </si>
  <si>
    <t>regComments ""</t>
  </si>
  <si>
    <t>tester defined</t>
  </si>
  <si>
    <t>mFunc_TestInit</t>
  </si>
  <si>
    <t>No</t>
  </si>
  <si>
    <t>CALL_MACRO</t>
  </si>
  <si>
    <t>mFunc_PowerOn</t>
  </si>
  <si>
    <t>mFunc_OpenDBCFile</t>
  </si>
  <si>
    <t>mFunc_CANToolCfg</t>
  </si>
  <si>
    <t>mFunc_BuildCANMsgCycSendList</t>
  </si>
  <si>
    <t>DIAG_init</t>
  </si>
  <si>
    <t>mSub_ConfigPwr</t>
  </si>
  <si>
    <t>powerCfg</t>
  </si>
  <si>
    <t>1 "1,9600,8,NONE,1" Result1</t>
  </si>
  <si>
    <t>checkLimit</t>
  </si>
  <si>
    <t>Result1 0 0</t>
  </si>
  <si>
    <t>powerOn</t>
  </si>
  <si>
    <t>dbc_open</t>
  </si>
  <si>
    <t>"C:\Users\YUD1WHU\Desktop\569\IP_CD569_CAN_Matrix.dbc" Result1</t>
  </si>
  <si>
    <t>check_throwErrMsg</t>
  </si>
  <si>
    <t xml:space="preserve">Result1 0 0  "Open dbc file Error: %d" Result1</t>
  </si>
  <si>
    <t>can_vt_close</t>
  </si>
  <si>
    <t>can_vt_open</t>
  </si>
  <si>
    <t>1 500000 Result2</t>
  </si>
  <si>
    <t xml:space="preserve">Result2 0 0  "Open CAN Tool Error: %d" Result2</t>
  </si>
  <si>
    <t>can_vt_sendMsg</t>
  </si>
  <si>
    <t>3E0 2</t>
  </si>
  <si>
    <t>180 2</t>
  </si>
  <si>
    <t>184 2</t>
  </si>
  <si>
    <t>187 2</t>
  </si>
  <si>
    <t>196 2</t>
  </si>
  <si>
    <t>197 2</t>
  </si>
  <si>
    <t>1A6 2</t>
  </si>
  <si>
    <t>1A8 2</t>
  </si>
  <si>
    <t>248 2</t>
  </si>
  <si>
    <t>249 2</t>
  </si>
  <si>
    <t>24E 2</t>
  </si>
  <si>
    <t>24F 2</t>
  </si>
  <si>
    <t>258 2</t>
  </si>
  <si>
    <t>25E 2</t>
  </si>
  <si>
    <t>262 2</t>
  </si>
  <si>
    <t>264 2</t>
  </si>
  <si>
    <t>26C 2</t>
  </si>
  <si>
    <t>277 2</t>
  </si>
  <si>
    <t>28B 2</t>
  </si>
  <si>
    <t>298 2</t>
  </si>
  <si>
    <t>2A6 2</t>
  </si>
  <si>
    <t>2A7 2</t>
  </si>
  <si>
    <t>2AC 2</t>
  </si>
  <si>
    <t>2AE 2</t>
  </si>
  <si>
    <t>2AF 2</t>
  </si>
  <si>
    <t>2D4 2</t>
  </si>
  <si>
    <t>2D6 2</t>
  </si>
  <si>
    <t>2EF 2</t>
  </si>
  <si>
    <t>2F7 2</t>
  </si>
  <si>
    <t>2FD 2</t>
  </si>
  <si>
    <t>2FF 2</t>
  </si>
  <si>
    <t>300 2</t>
  </si>
  <si>
    <t>304 2</t>
  </si>
  <si>
    <t>308 2</t>
  </si>
  <si>
    <t>30A 2</t>
  </si>
  <si>
    <t>30D 2</t>
  </si>
  <si>
    <t>322 2</t>
  </si>
  <si>
    <t>332 2</t>
  </si>
  <si>
    <t>338 2</t>
  </si>
  <si>
    <t>342 2</t>
  </si>
  <si>
    <t>344 2</t>
  </si>
  <si>
    <t>345 2</t>
  </si>
  <si>
    <t xml:space="preserve">347  2</t>
  </si>
  <si>
    <t>34E 2</t>
  </si>
  <si>
    <t>34F 2</t>
  </si>
  <si>
    <t>352 2</t>
  </si>
  <si>
    <t>355 2</t>
  </si>
  <si>
    <t>358 2</t>
  </si>
  <si>
    <t>35C 2</t>
  </si>
  <si>
    <t>35D 2</t>
  </si>
  <si>
    <t>35E 2</t>
  </si>
  <si>
    <t>35F 2</t>
  </si>
  <si>
    <t>366 2</t>
  </si>
  <si>
    <t>367 2</t>
  </si>
  <si>
    <t>36D 2</t>
  </si>
  <si>
    <t>374 2</t>
  </si>
  <si>
    <t>37D 2</t>
  </si>
  <si>
    <t>387 2</t>
  </si>
  <si>
    <t>388 2</t>
  </si>
  <si>
    <t>38A 2</t>
  </si>
  <si>
    <t>390 2</t>
  </si>
  <si>
    <t>396 2</t>
  </si>
  <si>
    <t>3A4 2</t>
  </si>
  <si>
    <t>3B6 2</t>
  </si>
  <si>
    <t>3BA 2</t>
  </si>
  <si>
    <t>3C0 2</t>
  </si>
  <si>
    <t>3C8 2</t>
  </si>
  <si>
    <t>3CA 2</t>
  </si>
  <si>
    <t>3CB 2</t>
  </si>
  <si>
    <t>3CD 2</t>
  </si>
  <si>
    <t>3D4 2</t>
  </si>
  <si>
    <t>3E6 2</t>
  </si>
  <si>
    <t>3EE 2</t>
  </si>
  <si>
    <t>3EF 2</t>
  </si>
  <si>
    <t>3F6 2</t>
  </si>
  <si>
    <t>3FA 2</t>
  </si>
  <si>
    <t>3FD 2</t>
  </si>
  <si>
    <t>3FF 2</t>
  </si>
  <si>
    <t>50 2</t>
  </si>
  <si>
    <t>518 2</t>
  </si>
  <si>
    <t>51E 2</t>
  </si>
  <si>
    <t>5FF 2</t>
  </si>
  <si>
    <t>348 2</t>
  </si>
  <si>
    <t>38E 2</t>
  </si>
  <si>
    <t>501 2</t>
  </si>
  <si>
    <t>51A 2</t>
  </si>
  <si>
    <t>553 2</t>
  </si>
  <si>
    <t>580 2</t>
  </si>
  <si>
    <t>3A7 2</t>
  </si>
  <si>
    <t xml:space="preserve">701  2</t>
  </si>
  <si>
    <t>mFunc_StopAllCANMessageSend</t>
  </si>
  <si>
    <t>can_vt_stopMsg</t>
  </si>
  <si>
    <t>3E0 0</t>
  </si>
  <si>
    <t>180 0</t>
  </si>
  <si>
    <t>184 0</t>
  </si>
  <si>
    <t>187 0</t>
  </si>
  <si>
    <t>196 0</t>
  </si>
  <si>
    <t>197 0</t>
  </si>
  <si>
    <t>1A6 0</t>
  </si>
  <si>
    <t>1A8 0</t>
  </si>
  <si>
    <t>248 0</t>
  </si>
  <si>
    <t>249 0</t>
  </si>
  <si>
    <t>24E 0</t>
  </si>
  <si>
    <t>24F 0</t>
  </si>
  <si>
    <t>258 0</t>
  </si>
  <si>
    <t>25E 0</t>
  </si>
  <si>
    <t>262 0</t>
  </si>
  <si>
    <t>264 0</t>
  </si>
  <si>
    <t>26C 0</t>
  </si>
  <si>
    <t>277 0</t>
  </si>
  <si>
    <t>28B 0</t>
  </si>
  <si>
    <t>298 0</t>
  </si>
  <si>
    <t>2A6 0</t>
  </si>
  <si>
    <t>2A7 0</t>
  </si>
  <si>
    <t>2AC 0</t>
  </si>
  <si>
    <t>2AE 0</t>
  </si>
  <si>
    <t>2AF 0</t>
  </si>
  <si>
    <t>2D4 0</t>
  </si>
  <si>
    <t>2D6 0</t>
  </si>
  <si>
    <t>2EF 0</t>
  </si>
  <si>
    <t>2F7 0</t>
  </si>
  <si>
    <t>2FD 0</t>
  </si>
  <si>
    <t>2FF 0</t>
  </si>
  <si>
    <t>300 0</t>
  </si>
  <si>
    <t>304 0</t>
  </si>
  <si>
    <t>308 0</t>
  </si>
  <si>
    <t>30A 0</t>
  </si>
  <si>
    <t>30D 0</t>
  </si>
  <si>
    <t>322 0</t>
  </si>
  <si>
    <t>332 0</t>
  </si>
  <si>
    <t>338 0</t>
  </si>
  <si>
    <t>342 0</t>
  </si>
  <si>
    <t>344 0</t>
  </si>
  <si>
    <t>345 0</t>
  </si>
  <si>
    <t>347 0</t>
  </si>
  <si>
    <t>34E 0</t>
  </si>
  <si>
    <t>34F 0</t>
  </si>
  <si>
    <t>352 0</t>
  </si>
  <si>
    <t>355 0</t>
  </si>
  <si>
    <t xml:space="preserve">358  0</t>
  </si>
  <si>
    <t>35C 0</t>
  </si>
  <si>
    <t>35D 0</t>
  </si>
  <si>
    <t>35E 0</t>
  </si>
  <si>
    <t>35F 0</t>
  </si>
  <si>
    <t>366 0</t>
  </si>
  <si>
    <t>367 0</t>
  </si>
  <si>
    <t>36D 0</t>
  </si>
  <si>
    <t>374 0</t>
  </si>
  <si>
    <t>37D 0</t>
  </si>
  <si>
    <t>387 0</t>
  </si>
  <si>
    <t>388 0</t>
  </si>
  <si>
    <t>38A 0</t>
  </si>
  <si>
    <t>390 0</t>
  </si>
  <si>
    <t>396 0</t>
  </si>
  <si>
    <t>3A4 0</t>
  </si>
  <si>
    <t>3B6 0</t>
  </si>
  <si>
    <t>3BA 0</t>
  </si>
  <si>
    <t>3C0 0</t>
  </si>
  <si>
    <t>3C8 0</t>
  </si>
  <si>
    <t>3CA 0</t>
  </si>
  <si>
    <t>3CB 0</t>
  </si>
  <si>
    <t>3CD 0</t>
  </si>
  <si>
    <t>3D4 0</t>
  </si>
  <si>
    <t>3E6 0</t>
  </si>
  <si>
    <t>3EE 0</t>
  </si>
  <si>
    <t>3EF 0</t>
  </si>
  <si>
    <t>3F6 0</t>
  </si>
  <si>
    <t>3FA 0</t>
  </si>
  <si>
    <t>3FD 0</t>
  </si>
  <si>
    <t>3FF 0</t>
  </si>
  <si>
    <t>50 0</t>
  </si>
  <si>
    <t>518 0</t>
  </si>
  <si>
    <t>51E 0</t>
  </si>
  <si>
    <t>5FF 0</t>
  </si>
  <si>
    <t>348 0</t>
  </si>
  <si>
    <t>38E 0</t>
  </si>
  <si>
    <t>501 0</t>
  </si>
  <si>
    <t>51A 0</t>
  </si>
  <si>
    <t>553 0</t>
  </si>
  <si>
    <t>580 0</t>
  </si>
  <si>
    <t>3A7 0</t>
  </si>
  <si>
    <t xml:space="preserve">701  0</t>
  </si>
  <si>
    <t>canEx_setCanDataTxID</t>
  </si>
  <si>
    <t>0x701</t>
  </si>
  <si>
    <t>Request to ECU</t>
  </si>
  <si>
    <t>delay</t>
  </si>
  <si>
    <t>canEx_setCanDataRxID</t>
  </si>
  <si>
    <t>0x709</t>
  </si>
  <si>
    <t>Response from ECU</t>
  </si>
  <si>
    <t>canEx_setFlowCtlFrame</t>
  </si>
  <si>
    <t>"30 00 0A 00 00 00 00 00"</t>
  </si>
  <si>
    <t>//GWM</t>
  </si>
  <si>
    <t>mSpe_ICUUnLock</t>
  </si>
  <si>
    <t xml:space="preserve">Seed1_1 Seed1_2 Seed1_3 Seed1_4  Key  Keycommand SeedTemp</t>
  </si>
  <si>
    <t>Seed2_1 Seed2_2 Seed2_3 Seed2_4</t>
  </si>
  <si>
    <t>Key1_1 Key1_2 Key1_3 Key1_4 Key1Group</t>
  </si>
  <si>
    <t>Key2_1 Key2_2 Key2_3 Key2_4 Key2Group</t>
  </si>
  <si>
    <t>TempInt SendKey</t>
  </si>
  <si>
    <t>dbc_setSignal</t>
  </si>
  <si>
    <t>sig_TP_Header 2 sig_TP_Body 62 sig_TP_Tail 0</t>
  </si>
  <si>
    <t>canEx_sendRecv</t>
  </si>
  <si>
    <t>"3E 00" ReceivedData</t>
  </si>
  <si>
    <t>"10 03" ReceivedData</t>
  </si>
  <si>
    <t>"27 01" ReceivedData</t>
  </si>
  <si>
    <t>string_parse</t>
  </si>
  <si>
    <t>ReceivedData "%s*4%s2" Seed1_1</t>
  </si>
  <si>
    <t>string_stringToInt</t>
  </si>
  <si>
    <t>"H" Seed1_1</t>
  </si>
  <si>
    <t>ReceivedData "%s*6%s2" Seed1_2</t>
  </si>
  <si>
    <t>"H" Seed1_2</t>
  </si>
  <si>
    <t>ReceivedData "%s*8%s2" Seed1_3</t>
  </si>
  <si>
    <t>"H" Seed1_3</t>
  </si>
  <si>
    <t>ReceivedData "%s*10%s2" Seed1_4</t>
  </si>
  <si>
    <t>"H" Seed1_4</t>
  </si>
  <si>
    <t>Key1_1 = Seed1_1 ^ 116</t>
  </si>
  <si>
    <t>0x74</t>
  </si>
  <si>
    <t>Key1_2 = Seed1_2 ^ 247</t>
  </si>
  <si>
    <t>0xF7</t>
  </si>
  <si>
    <t>Key1_3 = Seed1_3 ^ 21</t>
  </si>
  <si>
    <t>0x15</t>
  </si>
  <si>
    <t>Key1_4 = Seed1_4 ^ 23</t>
  </si>
  <si>
    <t>0x17</t>
  </si>
  <si>
    <t xml:space="preserve">Key1Group = ( Key1_1 &lt;&lt; 24 ) + ( Key1_2 &lt;&lt; 16 ) + ( Key1_3 &lt;&lt; 8 ) + Key1_4 </t>
  </si>
  <si>
    <t>TempInt = 0</t>
  </si>
  <si>
    <t>loopStart</t>
  </si>
  <si>
    <t>Result1 = 7 ; Result1 &gt;= 0 ; Result1 = Result1 - 1</t>
  </si>
  <si>
    <t>TempInt = TempInt | ( ( Seed1_1 % 2 ) &lt;&lt; Result1 )</t>
  </si>
  <si>
    <t>Seed1_1 = Seed1_1 &gt;&gt; 1</t>
  </si>
  <si>
    <t>loopEnd</t>
  </si>
  <si>
    <t>TempInt = TempInt &amp; 255</t>
  </si>
  <si>
    <t>Seed2_4 = TempInt</t>
  </si>
  <si>
    <t>TempInt = TempInt | ( ( Seed1_2 % 2 ) &lt;&lt; Result1 )</t>
  </si>
  <si>
    <t>Seed1_2 = Seed1_2 &gt;&gt; 1</t>
  </si>
  <si>
    <t>Seed2_3 = TempInt</t>
  </si>
  <si>
    <t>TempInt = TempInt | ( ( Seed1_3 % 2 ) &lt;&lt; Result1 )</t>
  </si>
  <si>
    <t>Seed1_3 = Seed1_3 &gt;&gt; 1</t>
  </si>
  <si>
    <t>Seed2_2 = TempInt</t>
  </si>
  <si>
    <t>TempInt = TempInt | ( ( Seed1_4 % 2 ) &lt;&lt; Result1 )</t>
  </si>
  <si>
    <t>Seed1_4 = Seed1_4 &gt;&gt; 1</t>
  </si>
  <si>
    <t>Seed2_1 = TempInt</t>
  </si>
  <si>
    <t>Key2_1 = Seed2_1 ^ 116</t>
  </si>
  <si>
    <t>Key2_2 = Seed2_2 ^ 247</t>
  </si>
  <si>
    <t>Key2_3 = Seed2_3 ^ 21</t>
  </si>
  <si>
    <t>Key2_4 = Seed2_4 ^ 23</t>
  </si>
  <si>
    <t xml:space="preserve">Key2Group = ( Key2_1 &lt;&lt; 24 ) + ( Key2_2 &lt;&lt; 16 ) + ( Key2_3 &lt;&lt; 8 ) + Key2_4 </t>
  </si>
  <si>
    <t>Key = Key1Group + Key2Group</t>
  </si>
  <si>
    <t>Key = Key &amp; 4294967295</t>
  </si>
  <si>
    <t>0xFFFFFFFF</t>
  </si>
  <si>
    <t>string_intToHex</t>
  </si>
  <si>
    <t xml:space="preserve">Key SendKey  8</t>
  </si>
  <si>
    <t xml:space="preserve">Keycommand  "2702"  SendKey</t>
  </si>
  <si>
    <t>Keycommand ReceivedData</t>
  </si>
  <si>
    <t>mSpec_ShowTripHMI</t>
  </si>
  <si>
    <t>GW_MFS_Right_switch 1</t>
  </si>
  <si>
    <t>GW_MFS_Right_switch 0</t>
  </si>
  <si>
    <t>GW_MFS_OK_switch 1</t>
  </si>
  <si>
    <t>GW_MFS_OK_switch 0</t>
  </si>
  <si>
    <t>GW_MFS_Down_switch 1</t>
  </si>
  <si>
    <t>GW_MFS_Down_switch 0</t>
  </si>
  <si>
    <t>macro_SetPwrMode_D1</t>
  </si>
  <si>
    <t>Project specific macro definitions</t>
  </si>
  <si>
    <t>macro_Reg_RetValue1</t>
  </si>
  <si>
    <t>box_power</t>
  </si>
  <si>
    <t>3 macro_Reg_RetValue1</t>
  </si>
  <si>
    <t>macro_SetPwrMode_D2</t>
  </si>
  <si>
    <t>macro_Reg_RetValue2</t>
  </si>
  <si>
    <t>1 macro_Reg_RetValue2</t>
  </si>
  <si>
    <t>macro_SetPwrMode_D3</t>
  </si>
  <si>
    <t>macro_Reg_RetValue3</t>
  </si>
  <si>
    <t>1 macro_Reg_RetValue3</t>
  </si>
  <si>
    <t>macro_SetPwrMode_D4</t>
  </si>
  <si>
    <t>IgnKyPstn 0</t>
  </si>
  <si>
    <t>0 macro_Reg_RetValue3</t>
  </si>
  <si>
    <t>macro_4Btn_ShortPress_Up</t>
  </si>
  <si>
    <t>box_resistance</t>
  </si>
  <si>
    <t>2 220</t>
  </si>
  <si>
    <t>2 524287</t>
  </si>
  <si>
    <t>macro_4Btn_ShortPress_OK</t>
  </si>
  <si>
    <t>2 790</t>
  </si>
  <si>
    <t>macro_4Btn_ShortPress_Dn</t>
  </si>
  <si>
    <t>2 6480</t>
  </si>
  <si>
    <t>macro_4Btn_ShortPress_SW</t>
  </si>
  <si>
    <t>2 1380</t>
  </si>
  <si>
    <t>macro_5Btn_ShortPress_Up</t>
  </si>
  <si>
    <t>2 100</t>
  </si>
  <si>
    <t>macro_5Btn_ShortPress_Dn</t>
  </si>
  <si>
    <t>2 320</t>
  </si>
  <si>
    <t>macro_5Btn_ShortPress_Left</t>
  </si>
  <si>
    <t>2 650</t>
  </si>
  <si>
    <t>macro_5Btn_ShortPress_Right</t>
  </si>
  <si>
    <t>2 1330</t>
  </si>
  <si>
    <t>macro_5Btn_ShortPress_OK</t>
  </si>
  <si>
    <t>2 2830</t>
  </si>
  <si>
    <t>macro_5Btn_LongPress_Up</t>
  </si>
  <si>
    <t>macro_5Btn_LongPress_Dn</t>
  </si>
  <si>
    <t>macro_5Btn_LongPress_Left</t>
  </si>
  <si>
    <t>macro_5Btn_LongPress_Right</t>
  </si>
  <si>
    <t>macro_5Btn_LongPress_OK</t>
  </si>
  <si>
    <t>macro_Pin1_Oil_GND</t>
  </si>
  <si>
    <t>box_switchSignal</t>
  </si>
  <si>
    <t>1 0 0</t>
  </si>
  <si>
    <t>macro_Pin1_Oil_NUL</t>
  </si>
  <si>
    <t>1 1 0</t>
  </si>
  <si>
    <t>macro_Pin2_EBD_GND</t>
  </si>
  <si>
    <t>2 0 0</t>
  </si>
  <si>
    <t>macro_Pin2_EBD_NUL</t>
  </si>
  <si>
    <t>2 1 0</t>
  </si>
  <si>
    <t>macro_Pin3_Engine_GND</t>
  </si>
  <si>
    <t>3 0 0</t>
  </si>
  <si>
    <t>macro_Pin3_Engine_NUL</t>
  </si>
  <si>
    <t>3 1 0</t>
  </si>
  <si>
    <t>macro_Pin4_GND</t>
  </si>
  <si>
    <t>macro_Pin4_NUL</t>
  </si>
  <si>
    <t>macro_Pin12_GND</t>
  </si>
  <si>
    <t>macro_Pin12_NUL</t>
  </si>
  <si>
    <t>macro_Reset_Resistance</t>
  </si>
  <si>
    <t>1 200</t>
  </si>
  <si>
    <t>2 200</t>
  </si>
  <si>
    <t>3 200</t>
  </si>
  <si>
    <t>4 200</t>
  </si>
  <si>
    <t>1 0</t>
  </si>
  <si>
    <t>2 0</t>
  </si>
  <si>
    <t>3 0</t>
  </si>
  <si>
    <t>4 0</t>
  </si>
  <si>
    <t>macro_Reset_IO</t>
  </si>
  <si>
    <t>4 1 0</t>
  </si>
  <si>
    <t>5 1 0</t>
  </si>
  <si>
    <t>6 1 0</t>
  </si>
  <si>
    <t>7 1 0</t>
  </si>
  <si>
    <t>8 1 0</t>
  </si>
  <si>
    <t>9 1 0</t>
  </si>
  <si>
    <t>10 1 0</t>
  </si>
  <si>
    <t>11 1 0</t>
  </si>
  <si>
    <t>12 1 0</t>
  </si>
  <si>
    <t>13 1 0</t>
  </si>
  <si>
    <t>14 1 0</t>
  </si>
  <si>
    <t>15 1 0</t>
  </si>
  <si>
    <t>16 1 0</t>
  </si>
  <si>
    <t>CalculateMsgCksum_0x53F</t>
  </si>
  <si>
    <t>can_vt_recvMsg</t>
  </si>
  <si>
    <t>1 ICand_Interaction_Syn_ICE_Data Reg_RcedMsgContent</t>
  </si>
  <si>
    <t>Reg_RcedMsgContent "%s*0%s2" Byte0</t>
  </si>
  <si>
    <t>"H" Byte0</t>
  </si>
  <si>
    <t>Reg_RcedMsgContent "%s*3%s2" Byte1</t>
  </si>
  <si>
    <t>"H" Byte1</t>
  </si>
  <si>
    <t>Reg_RcedMsgContent "%s*6%s2" Byte2</t>
  </si>
  <si>
    <t>"H" Byte2</t>
  </si>
  <si>
    <t>Reg_RcedMsgContent "%s*9%s2" Byte3</t>
  </si>
  <si>
    <t>"H" Byte3</t>
  </si>
  <si>
    <t>Reg_RcedMsgContent "%s*12%s2" Byte4</t>
  </si>
  <si>
    <t>"H" Byte4</t>
  </si>
  <si>
    <t>Reg_RcedMsgContent "%s*15%s2" Byte5</t>
  </si>
  <si>
    <t>"H" Byte5</t>
  </si>
  <si>
    <t>Reg_RcedMsgContent "%s*18%s2" Byte6</t>
  </si>
  <si>
    <t>"H" Byte6</t>
  </si>
  <si>
    <t>CheckSum_0x53F = Byte0 + Byte1 + Byte2 + Byte3 + Byte4 + Byte5 + Byte6</t>
  </si>
  <si>
    <t>CheckSum_0x53F = CheckSum_0x53F % 256</t>
  </si>
  <si>
    <t>InteSychICEDatCksm CheckSum_0x53F</t>
  </si>
  <si>
    <t>Test case ID Prefix</t>
  </si>
  <si>
    <t>TRIP_TC</t>
  </si>
  <si>
    <t>FRS Name</t>
  </si>
  <si>
    <r xmlns="http://schemas.openxmlformats.org/spreadsheetml/2006/main">
      <rPr>
        <sz val="10"/>
        <color theme="9" tint="-0.499984740745262"/>
        <rFont val="微软雅黑"/>
        <family val="2"/>
        <charset val="134"/>
      </rPr>
      <t>常规功能</t>
    </r>
    <r xmlns="http://schemas.openxmlformats.org/spreadsheetml/2006/main">
      <rPr>
        <sz val="10"/>
        <color theme="9" tint="-0.499984740745262"/>
        <rFont val="Arial"/>
        <family val="2"/>
      </rPr>
      <t xml:space="preserve"> V1.1</t>
    </r>
    <phoneticPr xmlns="http://schemas.openxmlformats.org/spreadsheetml/2006/main" fontId="30" type="noConversion"/>
  </si>
  <si>
    <t>Reserved and Mandatory for ATS</t>
  </si>
  <si>
    <t>Unique ID</t>
  </si>
  <si>
    <t>ASIL Requirement ID</t>
  </si>
  <si>
    <t>Reference</t>
  </si>
  <si>
    <t>Precondition</t>
  </si>
  <si>
    <t>Test Case</t>
  </si>
  <si>
    <t>Expected Behavior</t>
  </si>
  <si>
    <t>StepStatus</t>
  </si>
  <si>
    <t>Action</t>
  </si>
  <si>
    <t>Comments</t>
  </si>
  <si>
    <t>Result</t>
  </si>
  <si>
    <t xml:space="preserve">Applicable
 Variants </t>
  </si>
  <si>
    <t>Priority</t>
  </si>
  <si>
    <t>Remarks/Issue NO.</t>
  </si>
  <si>
    <t>No.Of Passed</t>
  </si>
  <si>
    <t>ATS初始化模块，手动测试时请忽略此模块</t>
  </si>
  <si>
    <t>Enable</t>
  </si>
  <si>
    <t>ATS_Init</t>
  </si>
  <si>
    <t>Hardware &amp; Software init</t>
  </si>
  <si>
    <t>Normal Input</t>
  </si>
  <si>
    <t>TRIP_TC01_01</t>
  </si>
  <si>
    <t>18.2.1</t>
  </si>
  <si>
    <t>KL15 ON</t>
  </si>
  <si>
    <t xml:space="preserve">0x38A_GW_MFS_OK_switch=1
等待2s
0x38A_GW_MFS_OK_switch=0
0x187_ESP_VehicleSpeedValid =0
0x187_ESP_VehicleSpeed=0
等待60s</t>
  </si>
  <si>
    <t>小计里程显示为0km</t>
  </si>
  <si>
    <t>Pass</t>
  </si>
  <si>
    <t>ESP_VehicleSpeedValid 0</t>
  </si>
  <si>
    <t>ESP_VehicleSpeed 0</t>
  </si>
  <si>
    <t>msgBox_ask_withcomment</t>
  </si>
  <si>
    <t>"小计里程显示为0km" regComments "Pass"</t>
  </si>
  <si>
    <t>html_writeReport</t>
  </si>
  <si>
    <t>"C:\Users\YUD1WHU\Desktop\ATS_v1.5\test"</t>
  </si>
  <si>
    <t>TRIP_TC01_02</t>
  </si>
  <si>
    <r xmlns="http://schemas.openxmlformats.org/spreadsheetml/2006/main">
      <t xml:space="preserve">0x187_ESP_VehicleSpeedValid =0
0x187_ESP_VehicleSpeed=60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</si>
  <si>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小计里程显示为1km</t>
  </si>
  <si>
    <t>ESP_VehicleSpeed 60</t>
  </si>
  <si>
    <t>"小计里程显示为 1km" regComments "Pass"</t>
  </si>
  <si>
    <t>TRIP_TC01_03</t>
  </si>
  <si>
    <r xmlns="http://schemas.openxmlformats.org/spreadsheetml/2006/main">
      <t xml:space="preserve">0x187_ESP_VehicleSpeed=120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</si>
  <si>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小计里程显示为3km</t>
  </si>
  <si>
    <t>ESP_VehicleSpeed 120</t>
  </si>
  <si>
    <t>"小计里程显示为 3km" regComments "Pass"</t>
  </si>
  <si>
    <t>TRIP_TC01_04</t>
  </si>
  <si>
    <r xmlns="http://schemas.openxmlformats.org/spreadsheetml/2006/main">
      <t xml:space="preserve">0x187_ESP_VehicleSpeed=180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</si>
  <si>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小计里程显示为6km</t>
  </si>
  <si>
    <t>ESP_VehicleSpeed 180</t>
  </si>
  <si>
    <t>"小计里程显示为 6km" regComments "Pass"</t>
  </si>
  <si>
    <t>TRIP_TC01_05</t>
  </si>
  <si>
    <r xmlns="http://schemas.openxmlformats.org/spreadsheetml/2006/main">
      <t xml:space="preserve">0x187_ESP_VehicleSpeed=240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</si>
  <si>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小计里程显示为10km</t>
  </si>
  <si>
    <t>ESP_VehicleSpeed 240</t>
  </si>
  <si>
    <t>"小计里程显示为 10km" regComments "Pass"</t>
  </si>
  <si>
    <t>TRIP_TC01_06</t>
  </si>
  <si>
    <r xmlns="http://schemas.openxmlformats.org/spreadsheetml/2006/main">
      <t xml:space="preserve">0x187_ESP_VehicleSpeed=300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</si>
  <si>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小计里程显示为15km</t>
  </si>
  <si>
    <t>ESP_VehicleSpeed 300</t>
  </si>
  <si>
    <t>"小计里程显示为 15km" regComments "Pass"</t>
  </si>
  <si>
    <t>TRIP_TC01_07</t>
  </si>
  <si>
    <r xmlns="http://schemas.openxmlformats.org/spreadsheetml/2006/main">
      <t xml:space="preserve">0x187_ESP_VehicleSpeed=360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</si>
  <si>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小计里程显示为21km</t>
  </si>
  <si>
    <t>ESP_VehicleSpeed 360</t>
  </si>
  <si>
    <t>"小计里程显示为 21km" regComments "Pass"</t>
  </si>
  <si>
    <t>TRIP_TC01_08</t>
  </si>
  <si>
    <r xmlns="http://schemas.openxmlformats.org/spreadsheetml/2006/main">
      <t xml:space="preserve">0x187_ESP_VehicleSpeed=361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</si>
  <si>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ESP_VehicleSpeed 361</t>
  </si>
  <si>
    <t>TRIP_TC02_01</t>
  </si>
  <si>
    <t xml:space="preserve">KL15 ON
0x38A_GW_MFS_OK_switch=0</t>
  </si>
  <si>
    <r xmlns="http://schemas.openxmlformats.org/spreadsheetml/2006/main">
      <t xml:space="preserve">0x187_ESP_VehicleSpeedValid =0
0x187_ESP_VehicleSpeed=240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</si>
  <si>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小计里程显示增加4km</t>
  </si>
  <si>
    <t>"小计里程显示增加 4km" regComments "Pass"</t>
  </si>
  <si>
    <t>TRIP_TC02_02</t>
  </si>
  <si>
    <t xml:space="preserve">1.Send 0x38A_GW_MFS_OK_switch=1
2.Wait=2s
3.Send 0x38A_GW_MFS_OK_switch=0</t>
  </si>
  <si>
    <t>"小计里程显示为 0km" regComments "Pass"</t>
  </si>
  <si>
    <t>TRIP_TC03_01</t>
  </si>
  <si>
    <r xmlns="http://schemas.openxmlformats.org/spreadsheetml/2006/main">
      <t xml:space="preserve">0x187_ESP_VehicleSpeedValid =0
0x187_ESP_VehicleSpeed=240
</t>
    </r>
    <r xmlns="http://schemas.openxmlformats.org/spreadsheetml/2006/main">
      <rPr>
        <sz val="11"/>
        <color rgb="FF000000"/>
        <rFont val="宋体"/>
        <family val="2"/>
        <charset val="134"/>
      </rPr>
      <t>等待</t>
    </r>
    <r xmlns="http://schemas.openxmlformats.org/spreadsheetml/2006/main">
      <rPr>
        <sz val="11"/>
        <color indexed="8"/>
        <rFont val="Calibri"/>
        <family val="2"/>
      </rPr>
      <t>149999s</t>
    </r>
  </si>
  <si>
    <t xml:space="preserve">小计里程显示为9999.9km </t>
  </si>
  <si>
    <t>"小计里程显示为 9999.9km" regComments "Pass"</t>
  </si>
  <si>
    <t>TRIP_TC03_02</t>
  </si>
  <si>
    <r xmlns="http://schemas.openxmlformats.org/spreadsheetml/2006/main">
      <t xml:space="preserve">0x187_ESP_VehicleSpeed=240
</t>
    </r>
    <r xmlns="http://schemas.openxmlformats.org/spreadsheetml/2006/main">
      <rPr>
        <sz val="11"/>
        <color rgb="FF000000"/>
        <rFont val="宋体"/>
        <family val="2"/>
        <charset val="134"/>
      </rPr>
      <t>等待</t>
    </r>
    <r xmlns="http://schemas.openxmlformats.org/spreadsheetml/2006/main">
      <rPr>
        <sz val="11"/>
        <color indexed="8"/>
        <rFont val="Calibri"/>
        <family val="2"/>
      </rPr>
      <t>1.5S</t>
    </r>
    <phoneticPr xmlns="http://schemas.openxmlformats.org/spreadsheetml/2006/main" fontId="30" type="noConversion"/>
  </si>
  <si>
    <t>TRIP_TC03_03</t>
  </si>
  <si>
    <t>小计里程显示为2km</t>
  </si>
  <si>
    <t>"小计里程显示为 2km" regComments "Pass"</t>
  </si>
  <si>
    <t>PowerMode</t>
  </si>
  <si>
    <t>TRIP_TC04_01</t>
  </si>
  <si>
    <t>小计里程显示为4km</t>
  </si>
  <si>
    <t>"小计里程显示为 4km" regComments "Pass"</t>
  </si>
  <si>
    <t>TRIP_TC04_02</t>
  </si>
  <si>
    <t>D1-&gt;D3</t>
  </si>
  <si>
    <t>小计里程不显示</t>
  </si>
  <si>
    <t>"小计里程不显示" regComments "Pass"</t>
  </si>
  <si>
    <t>TRIP_TC04_03</t>
  </si>
  <si>
    <r xmlns="http://schemas.openxmlformats.org/spreadsheetml/2006/main">
      <t xml:space="preserve">D3-&gt;D2
</t>
    </r>
    <r xmlns="http://schemas.openxmlformats.org/spreadsheetml/2006/main">
      <rPr>
        <sz val="10"/>
        <color theme="1"/>
        <rFont val="宋体"/>
        <family val="2"/>
        <charset val="134"/>
      </rPr>
      <t>等待60</t>
    </r>
    <r xmlns="http://schemas.openxmlformats.org/spreadsheetml/2006/main">
      <rPr>
        <sz val="10"/>
        <color theme="1"/>
        <rFont val="Arial"/>
        <family val="2"/>
      </rPr>
      <t>S</t>
    </r>
    <phoneticPr xmlns="http://schemas.openxmlformats.org/spreadsheetml/2006/main" fontId="30" type="noConversion"/>
  </si>
  <si>
    <t>TRIP_TC04_04</t>
  </si>
  <si>
    <t>D2-&gt;D3</t>
  </si>
  <si>
    <t>TRIP_TC04_05</t>
  </si>
  <si>
    <r xmlns="http://schemas.openxmlformats.org/spreadsheetml/2006/main">
      <t xml:space="preserve">D3-&gt;D1
</t>
    </r>
    <r xmlns="http://schemas.openxmlformats.org/spreadsheetml/2006/main">
      <rPr>
        <sz val="10"/>
        <color theme="1"/>
        <rFont val="宋体"/>
        <family val="2"/>
        <charset val="134"/>
      </rPr>
      <t>等待60</t>
    </r>
    <r xmlns="http://schemas.openxmlformats.org/spreadsheetml/2006/main">
      <rPr>
        <sz val="10"/>
        <color theme="1"/>
        <rFont val="Arial"/>
        <family val="2"/>
      </rPr>
      <t>S</t>
    </r>
    <phoneticPr xmlns="http://schemas.openxmlformats.org/spreadsheetml/2006/main" fontId="30" type="noConversion"/>
  </si>
  <si>
    <t>小计里程显示为8km</t>
  </si>
  <si>
    <t>"小计里程显示为 8km" regComments "Pass"</t>
  </si>
  <si>
    <t>TRIP_TC04_06</t>
  </si>
  <si>
    <t>D1-&gt;D4</t>
  </si>
  <si>
    <t>TRIP_TC04_07</t>
  </si>
  <si>
    <r xmlns="http://schemas.openxmlformats.org/spreadsheetml/2006/main">
      <t xml:space="preserve">D4-&gt;D2
</t>
    </r>
    <r xmlns="http://schemas.openxmlformats.org/spreadsheetml/2006/main">
      <rPr>
        <sz val="10"/>
        <color theme="1"/>
        <rFont val="宋体"/>
        <family val="2"/>
        <charset val="134"/>
      </rPr>
      <t>等待</t>
    </r>
    <r xmlns="http://schemas.openxmlformats.org/spreadsheetml/2006/main">
      <rPr>
        <sz val="10"/>
        <color theme="1"/>
        <rFont val="Arial"/>
        <family val="2"/>
      </rPr>
      <t>60S</t>
    </r>
    <phoneticPr xmlns="http://schemas.openxmlformats.org/spreadsheetml/2006/main" fontId="30" type="noConversion"/>
  </si>
  <si>
    <t>TRIP_TC04_08</t>
  </si>
  <si>
    <t>D2-&gt;D4</t>
  </si>
  <si>
    <t>TRIP_TC04_09</t>
  </si>
  <si>
    <r xmlns="http://schemas.openxmlformats.org/spreadsheetml/2006/main">
      <t xml:space="preserve">D4-&gt;D1
</t>
    </r>
    <r xmlns="http://schemas.openxmlformats.org/spreadsheetml/2006/main">
      <rPr>
        <sz val="10"/>
        <color theme="1"/>
        <rFont val="宋体"/>
        <family val="2"/>
        <charset val="134"/>
      </rPr>
      <t>等待60</t>
    </r>
    <r xmlns="http://schemas.openxmlformats.org/spreadsheetml/2006/main">
      <rPr>
        <sz val="10"/>
        <color theme="1"/>
        <rFont val="Arial"/>
        <family val="2"/>
      </rPr>
      <t>S</t>
    </r>
    <phoneticPr xmlns="http://schemas.openxmlformats.org/spreadsheetml/2006/main" fontId="30" type="noConversion"/>
  </si>
  <si>
    <t>小计里程显示为12km</t>
  </si>
  <si>
    <t>"小计里程显示为 12km" regComments "Pass"</t>
  </si>
  <si>
    <t>Timeout and Recover</t>
  </si>
  <si>
    <t>TRIP_TC05_01</t>
  </si>
  <si>
    <t>TRIP_TC05_02</t>
  </si>
  <si>
    <t>0x187 节点超时1秒</t>
  </si>
  <si>
    <t>187 1000</t>
  </si>
  <si>
    <t>TRIP_TC05_03</t>
  </si>
  <si>
    <t xml:space="preserve">0x187 节点超时恢复
等待60S</t>
  </si>
  <si>
    <t>TRIP_TC06_01</t>
  </si>
  <si>
    <t>TRIP_TC06_02</t>
  </si>
  <si>
    <t xml:space="preserve">0x187_ESP_VehicleSpeed=0x1fff
等待60s</t>
  </si>
  <si>
    <t>ESP_VehicleSpeed 460.74375</t>
  </si>
  <si>
    <t>TRIP_TC06_03</t>
  </si>
  <si>
    <t xml:space="preserve">0x187_ESP_VehicleSpeed=120
等待60s</t>
  </si>
  <si>
    <t>TRIP_TC06_04</t>
  </si>
  <si>
    <t xml:space="preserve">0x187_ESP_VehicleSpeedValid =1
等待60S</t>
  </si>
  <si>
    <t>ESP_VehicleSpeedValid 1</t>
  </si>
  <si>
    <t>TRIP_TC06_05</t>
  </si>
  <si>
    <t xml:space="preserve">0x187_ESP_VehicleSpeedValid =0
等待60S</t>
  </si>
  <si>
    <t>High/Low Voltage</t>
  </si>
  <si>
    <t>TRIP_TC07_01</t>
  </si>
  <si>
    <r xmlns="http://schemas.openxmlformats.org/spreadsheetml/2006/main">
      <t xml:space="preserve">0x187_ESP_VehicleSpeedValid =0
0x187_ESP_VehicleSpeed=120
</t>
    </r>
    <r xmlns="http://schemas.openxmlformats.org/spreadsheetml/2006/main">
      <rPr>
        <sz val="11"/>
        <color rgb="FF000000"/>
        <rFont val="宋体"/>
        <family val="2"/>
        <charset val="134"/>
      </rPr>
      <t>等待</t>
    </r>
    <r xmlns="http://schemas.openxmlformats.org/spreadsheetml/2006/main">
      <rPr>
        <sz val="11"/>
        <color indexed="8"/>
        <rFont val="Calibri"/>
        <family val="2"/>
      </rPr>
      <t>60s</t>
    </r>
    <phoneticPr xmlns="http://schemas.openxmlformats.org/spreadsheetml/2006/main" fontId="30" type="noConversion"/>
  </si>
  <si>
    <t>TRIP_TC07_02</t>
  </si>
  <si>
    <t>电压=18V，等1S</t>
  </si>
  <si>
    <t>LCD关闭</t>
  </si>
  <si>
    <t>"设置电源电压为 18V" regComments "Pass"</t>
  </si>
  <si>
    <t>"LCD 关闭" regComments "Pass"</t>
  </si>
  <si>
    <t>TRIP_TC07_03</t>
  </si>
  <si>
    <r xmlns="http://schemas.openxmlformats.org/spreadsheetml/2006/main">
      <t>电压=</t>
    </r>
    <r xmlns="http://schemas.openxmlformats.org/spreadsheetml/2006/main">
      <rPr>
        <strike/>
        <sz val="11"/>
        <color rgb="FFFF0000"/>
        <rFont val="Calibri"/>
        <family val="2"/>
        <scheme val="minor"/>
      </rPr>
      <t>17V</t>
    </r>
    <r xmlns="http://schemas.openxmlformats.org/spreadsheetml/2006/main">
      <rPr>
        <sz val="11"/>
        <color theme="1"/>
        <rFont val="Calibri"/>
        <family val="2"/>
        <scheme val="minor"/>
      </rPr>
      <t xml:space="preserve"> 16V，等60S</t>
    </r>
  </si>
  <si>
    <t>"设置电源电压为 16V" regComments "Pass"</t>
  </si>
  <si>
    <t>TRIP_TC08_01</t>
  </si>
  <si>
    <t>TRIP_TC08_02</t>
  </si>
  <si>
    <t>电压=6.5V，等1S</t>
  </si>
  <si>
    <t>"设置电源电压为 6.5V" regComments "Pass"</t>
  </si>
  <si>
    <t>TRIP_TC08_03</t>
  </si>
  <si>
    <t>电压=8.3V，等60S</t>
  </si>
  <si>
    <t>"设置电源电压为 8.3V" regComments "Pass"</t>
  </si>
  <si>
    <t>S NO</t>
  </si>
  <si>
    <t>Check List Points</t>
  </si>
  <si>
    <t xml:space="preserve">Design Check Result </t>
  </si>
  <si>
    <t>Review Check Result</t>
  </si>
  <si>
    <t>SWP1</t>
  </si>
  <si>
    <t>SWP2</t>
  </si>
  <si>
    <t>SWP3</t>
  </si>
  <si>
    <t>…</t>
  </si>
  <si>
    <t>Correct Template for the Test Report / Test Cases has been used</t>
  </si>
  <si>
    <t>Test cases included to test all the requirements pertaining to the feature</t>
  </si>
  <si>
    <t>Test cases included to test all the Negative Scenarios based on the Requirements pertaining to the Feature</t>
  </si>
  <si>
    <t>Test Cases based on the CR pertaining to the feature have been included</t>
  </si>
  <si>
    <t>OPL pertaining to the feature have been considered while preparing the test cases</t>
  </si>
  <si>
    <t>Test cases have been included for the defects present in the Defect Tracking Sheet</t>
  </si>
  <si>
    <t>Test cases have been included for Use Case Scenario</t>
  </si>
  <si>
    <t>Reference Documents used for the test report preparation have been updated in the Test Report</t>
  </si>
  <si>
    <t>Following Scenarios if applicable for the feature have been covered: (if not applicable, mark it as N/A)</t>
  </si>
  <si>
    <t>a) Button Press (Long and Short Press)</t>
  </si>
  <si>
    <t>b) Sleep / Wake Up</t>
  </si>
  <si>
    <t>c) KL15 Reset</t>
  </si>
  <si>
    <t>d) KL30 Reset</t>
  </si>
  <si>
    <t>e) Factory Reset</t>
  </si>
  <si>
    <t>f) Less Important warning trigger</t>
  </si>
  <si>
    <t>g) Important Warning trigger</t>
  </si>
  <si>
    <t>h) Signal Time out</t>
  </si>
  <si>
    <t>i) Power Supply Changes</t>
  </si>
  <si>
    <t>j) Multi Lingual Test Case</t>
  </si>
  <si>
    <t>k) EEPROM configuration check</t>
  </si>
  <si>
    <t>l) Test cases for Defects in the Defect tracking sheet pertaining to this feature</t>
  </si>
  <si>
    <t xml:space="preserve">System Test Specification  - Info</t>
  </si>
  <si>
    <t>TAB "Info"</t>
  </si>
  <si>
    <t>this page - contains important information about the tab sheets</t>
  </si>
  <si>
    <t>TAB "Help"</t>
  </si>
  <si>
    <t>contains list of commands, parameters and descriptions</t>
  </si>
  <si>
    <t>use this tab to get help for any command; read "Behavior" column carefully; remember that command parameters must be set according to rule in "Syntax" column</t>
  </si>
  <si>
    <t>TAB "Traceability"</t>
  </si>
  <si>
    <t>For reserved</t>
  </si>
  <si>
    <t>Please don't remove</t>
  </si>
  <si>
    <t>TAB "Macro"</t>
  </si>
  <si>
    <t>do not copy and paste code to execute it in more than one place,it means "function name" should be unique; create parts of reusable code in this sheet (macros); call them as many times as needed from test cases</t>
  </si>
  <si>
    <t>edit code as you would do for a normal test case; use background colors to highlight different macros; Try your best to avoid using pop-up-window to ask tester something or to check against expected values,(of course,it's allowed to use them if you want)</t>
  </si>
  <si>
    <t>use only literals, numbers, underscore and hyphen when naming a macro</t>
  </si>
  <si>
    <t>Note:Please do not fill-in "Function" cell at the same row with "Macro Name" you named, it will be ignored by test software</t>
  </si>
  <si>
    <r xmlns="http://schemas.openxmlformats.org/spreadsheetml/2006/main">
      <t xml:space="preserve">TAB </t>
    </r>
    <r xmlns="http://schemas.openxmlformats.org/spreadsheetml/2006/main">
      <rPr>
        <b/>
        <i/>
        <sz val="10"/>
        <rFont val="Arial"/>
        <family val="2"/>
      </rPr>
      <t>AnyTestCaseName</t>
    </r>
  </si>
  <si>
    <t>you can define any name and it need pass to test software as parameter</t>
  </si>
  <si>
    <t>In this sheet you can add any column, if you want delete some columns, please be careful</t>
  </si>
  <si>
    <r xmlns="http://schemas.openxmlformats.org/spreadsheetml/2006/main">
      <rPr>
        <sz val="10"/>
        <color rgb="FF0000FF"/>
        <rFont val="Arial"/>
        <family val="2"/>
      </rPr>
      <t>Status:</t>
    </r>
    <r xmlns="http://schemas.openxmlformats.org/spreadsheetml/2006/main">
      <rPr>
        <sz val="10"/>
        <rFont val="Arial"/>
        <family val="2"/>
      </rPr>
      <t xml:space="preserve"> Contron current testcase be executed or not, allowed value is "Disable" and "Enable", cann't remove</t>
    </r>
  </si>
  <si>
    <r xmlns="http://schemas.openxmlformats.org/spreadsheetml/2006/main">
      <rPr>
        <sz val="10"/>
        <color rgb="FF0000FF"/>
        <rFont val="Arial"/>
        <family val="2"/>
      </rPr>
      <t>Unique ID:</t>
    </r>
    <r xmlns="http://schemas.openxmlformats.org/spreadsheetml/2006/main">
      <rPr>
        <sz val="10"/>
        <rFont val="Arial"/>
        <family val="2"/>
      </rPr>
      <t xml:space="preserve"> Cann't be empty and has repeat value(string) ! Cann't remove</t>
    </r>
  </si>
  <si>
    <r xmlns="http://schemas.openxmlformats.org/spreadsheetml/2006/main">
      <rPr>
        <sz val="10"/>
        <color rgb="FF0000FF"/>
        <rFont val="Arial"/>
        <family val="2"/>
      </rPr>
      <t xml:space="preserve">Action: </t>
    </r>
    <r xmlns="http://schemas.openxmlformats.org/spreadsheetml/2006/main">
      <rPr>
        <sz val="10"/>
        <rFont val="Arial"/>
        <family val="2"/>
      </rPr>
      <t>define test step, action name refer to "Function name" in  tab "Help".  Cann't remove</t>
    </r>
  </si>
  <si>
    <r xmlns="http://schemas.openxmlformats.org/spreadsheetml/2006/main">
      <rPr>
        <sz val="10"/>
        <color rgb="FF0000FF"/>
        <rFont val="Arial"/>
        <family val="2"/>
      </rPr>
      <t>StepStatus:</t>
    </r>
    <r xmlns="http://schemas.openxmlformats.org/spreadsheetml/2006/main">
      <rPr>
        <sz val="10"/>
        <rFont val="Arial"/>
        <family val="2"/>
      </rPr>
      <t>Switch Action ON(Yes) or OFF(No), the truthtable as follows. (Cann't remmove)</t>
    </r>
  </si>
  <si>
    <t xml:space="preserve">                  Status               --&gt;         Disable    Disable     Enable    Enable</t>
  </si>
  <si>
    <t xml:space="preserve">                  StepStatus        --&gt;          Yes            No           Yes         No</t>
  </si>
  <si>
    <t xml:space="preserve">                  Action                --&gt;         Off            Off            On          Off</t>
  </si>
  <si>
    <r xmlns="http://schemas.openxmlformats.org/spreadsheetml/2006/main">
      <rPr>
        <sz val="10"/>
        <color rgb="FF0000FF"/>
        <rFont val="Arial"/>
        <family val="2"/>
      </rPr>
      <t>Parameters:</t>
    </r>
    <r xmlns="http://schemas.openxmlformats.org/spreadsheetml/2006/main">
      <rPr>
        <sz val="10"/>
        <rFont val="Arial"/>
        <family val="2"/>
      </rPr>
      <t>Actions parameter, refer to tab "Help" (Cann't remove)</t>
    </r>
  </si>
  <si>
    <r xmlns="http://schemas.openxmlformats.org/spreadsheetml/2006/main">
      <rPr>
        <sz val="10"/>
        <color rgb="FF0000FF"/>
        <rFont val="Arial"/>
        <family val="2"/>
      </rPr>
      <t>Comments:</t>
    </r>
    <r xmlns="http://schemas.openxmlformats.org/spreadsheetml/2006/main">
      <rPr>
        <sz val="10"/>
        <rFont val="Arial"/>
        <family val="2"/>
      </rPr>
      <t>Test software use, not for manual. Test software popup a window, tester can write comments in popup window, then software will write commnets to this column (Cann't remove)</t>
    </r>
  </si>
  <si>
    <r xmlns="http://schemas.openxmlformats.org/spreadsheetml/2006/main">
      <rPr>
        <sz val="10"/>
        <color rgb="FF0000FF"/>
        <rFont val="Arial"/>
        <family val="2"/>
      </rPr>
      <t>Result:</t>
    </r>
    <r xmlns="http://schemas.openxmlformats.org/spreadsheetml/2006/main">
      <rPr>
        <sz val="10"/>
        <rFont val="Arial"/>
        <family val="2"/>
      </rPr>
      <t>Test software use, not for manual. Software will write each testcase and step result(PASS,FAIL,BLOCK or SKIP) to this column (Cann't remove)</t>
    </r>
  </si>
  <si>
    <r xmlns="http://schemas.openxmlformats.org/spreadsheetml/2006/main">
      <rPr>
        <sz val="10"/>
        <color rgb="FF0000FF"/>
        <rFont val="Arial"/>
        <family val="2"/>
      </rPr>
      <t>Remarks:</t>
    </r>
    <r xmlns="http://schemas.openxmlformats.org/spreadsheetml/2006/main">
      <rPr>
        <sz val="10"/>
        <rFont val="Arial"/>
        <family val="2"/>
      </rPr>
      <t>For tester use only, tester can fill in issue ID in RTC or Mantis</t>
    </r>
  </si>
  <si>
    <t>it is a good practice to alternate background colors of adjacent test cases to increase visibility; you may choose colors according to your group specification</t>
  </si>
  <si>
    <t>Usage of "Test Caset" and "Expected Behavior" columns are mandatory; these columns are used to describe textually the test case; DO NOT delete columns</t>
  </si>
  <si>
    <r xmlns="http://schemas.openxmlformats.org/spreadsheetml/2006/main">
      <t>Test Case IDs</t>
    </r>
    <r xmlns="http://schemas.openxmlformats.org/spreadsheetml/2006/main">
      <rPr>
        <sz val="11"/>
        <rFont val="Arial"/>
        <family val="2"/>
      </rPr>
      <t xml:space="preserve"> </t>
    </r>
  </si>
  <si>
    <r xmlns="http://schemas.openxmlformats.org/spreadsheetml/2006/main">
      <t>Linked requirement IDs</t>
    </r>
    <r xmlns="http://schemas.openxmlformats.org/spreadsheetml/2006/main">
      <rPr>
        <sz val="11"/>
        <rFont val="Arial"/>
        <family val="2"/>
      </rPr>
      <t xml:space="preserve"> </t>
    </r>
  </si>
  <si>
    <r xmlns="http://schemas.openxmlformats.org/spreadsheetml/2006/main">
      <t>Coverage</t>
    </r>
    <r xmlns="http://schemas.openxmlformats.org/spreadsheetml/2006/main">
      <rPr>
        <sz val="11"/>
        <rFont val="Arial"/>
        <family val="2"/>
      </rPr>
      <t xml:space="preserve"> </t>
    </r>
  </si>
  <si>
    <r xmlns="http://schemas.openxmlformats.org/spreadsheetml/2006/main">
      <t>1</t>
    </r>
    <r xmlns="http://schemas.openxmlformats.org/spreadsheetml/2006/main">
      <rPr>
        <b/>
        <sz val="7"/>
        <rFont val="Arial"/>
        <family val="2"/>
      </rPr>
      <t xml:space="preserve">         </t>
    </r>
  </si>
  <si>
    <t>Scope</t>
  </si>
  <si>
    <r xmlns="http://schemas.openxmlformats.org/spreadsheetml/2006/main">
      <t>1.1</t>
    </r>
    <r xmlns="http://schemas.openxmlformats.org/spreadsheetml/2006/main">
      <rPr>
        <b/>
        <sz val="7"/>
        <rFont val="Arial"/>
        <family val="2"/>
      </rPr>
      <t xml:space="preserve">        </t>
    </r>
  </si>
  <si>
    <t>Test Object</t>
  </si>
  <si>
    <t>&lt;Insert a short description of the object under test (functionality) here, e.g. use description in "Overview" chapter of Software Requirements Specification&gt;</t>
  </si>
  <si>
    <r xmlns="http://schemas.openxmlformats.org/spreadsheetml/2006/main">
      <t>1.2</t>
    </r>
    <r xmlns="http://schemas.openxmlformats.org/spreadsheetml/2006/main">
      <rPr>
        <b/>
        <sz val="7"/>
        <rFont val="Arial"/>
        <family val="2"/>
      </rPr>
      <t xml:space="preserve">        </t>
    </r>
  </si>
  <si>
    <t>Test Items</t>
  </si>
  <si>
    <t>&lt;Use software version release label from CM system&gt;</t>
  </si>
  <si>
    <t>For example:</t>
  </si>
  <si>
    <r xmlns="http://schemas.openxmlformats.org/spreadsheetml/2006/main">
      <t>1.3</t>
    </r>
    <r xmlns="http://schemas.openxmlformats.org/spreadsheetml/2006/main">
      <rPr>
        <b/>
        <sz val="7"/>
        <rFont val="Arial"/>
        <family val="2"/>
      </rPr>
      <t xml:space="preserve">        </t>
    </r>
  </si>
  <si>
    <t>Projects</t>
  </si>
  <si>
    <t>Start date</t>
  </si>
  <si>
    <t>End date</t>
  </si>
  <si>
    <t>&lt;Type below list of projects for which this document is applicable and their start and end date&gt;</t>
  </si>
  <si>
    <r xmlns="http://schemas.openxmlformats.org/spreadsheetml/2006/main">
      <t>1.4</t>
    </r>
    <r xmlns="http://schemas.openxmlformats.org/spreadsheetml/2006/main">
      <rPr>
        <b/>
        <sz val="7"/>
        <rFont val="Arial"/>
        <family val="2"/>
      </rPr>
      <t xml:space="preserve">       </t>
    </r>
  </si>
  <si>
    <t>Reference documents</t>
  </si>
  <si>
    <t>&lt;Type below the list of reference documents&gt;</t>
  </si>
  <si>
    <t>Generic</t>
  </si>
  <si>
    <r xmlns="http://schemas.openxmlformats.org/spreadsheetml/2006/main">
      <t>2</t>
    </r>
    <r xmlns="http://schemas.openxmlformats.org/spreadsheetml/2006/main">
      <rPr>
        <b/>
        <sz val="7"/>
        <rFont val="Arial"/>
        <family val="2"/>
      </rPr>
      <t xml:space="preserve">         </t>
    </r>
  </si>
  <si>
    <t>Test Approach</t>
  </si>
  <si>
    <t>The chapter can be filled with a link to SW Master Test Plan if no difference and no additional definitions are necessary.</t>
  </si>
  <si>
    <r xmlns="http://schemas.openxmlformats.org/spreadsheetml/2006/main">
      <t>2.1</t>
    </r>
    <r xmlns="http://schemas.openxmlformats.org/spreadsheetml/2006/main">
      <rPr>
        <b/>
        <sz val="7"/>
        <rFont val="Arial"/>
        <family val="2"/>
      </rPr>
      <t xml:space="preserve">        </t>
    </r>
  </si>
  <si>
    <t>Test Goal</t>
  </si>
  <si>
    <t xml:space="preserve">2.1.1    </t>
  </si>
  <si>
    <t>Test Completeness Criteria:</t>
  </si>
  <si>
    <t xml:space="preserve">Define here the concrete Completeness Criteria for the functionality based on the criteria from the SW Master Test Plan.  E.g. At least one test case for each equivalence class of every use case. At least two test cases (positive/negative) for each atom requirement</t>
  </si>
  <si>
    <t xml:space="preserve">2.1.2    </t>
  </si>
  <si>
    <t>Test End Criteria:</t>
  </si>
  <si>
    <t>Write here criteria which defines how much of the test cases have to be performed and what test result has to be achieved in order to meet the test goal; e.g. "100% coverage of all requirements", "detection of estimated (prior to testing) faults", "no errors found", "no customer relevant errors are found for specified sample" and so on</t>
  </si>
  <si>
    <r xmlns="http://schemas.openxmlformats.org/spreadsheetml/2006/main">
      <t>2.2</t>
    </r>
    <r xmlns="http://schemas.openxmlformats.org/spreadsheetml/2006/main">
      <rPr>
        <b/>
        <sz val="7"/>
        <rFont val="Arial"/>
        <family val="2"/>
      </rPr>
      <t xml:space="preserve">        </t>
    </r>
  </si>
  <si>
    <t>Assumptions and Constraints</t>
  </si>
  <si>
    <t>Describe the assumptions or constraints for testing.</t>
  </si>
  <si>
    <t>e.g. Intentionally not tested features or incomplete requirements coverage due to not clarified issues</t>
  </si>
  <si>
    <r xmlns="http://schemas.openxmlformats.org/spreadsheetml/2006/main">
      <t>2.3</t>
    </r>
    <r xmlns="http://schemas.openxmlformats.org/spreadsheetml/2006/main">
      <rPr>
        <b/>
        <sz val="7"/>
        <rFont val="Arial"/>
        <family val="2"/>
      </rPr>
      <t xml:space="preserve">        </t>
    </r>
  </si>
  <si>
    <t>Test Strategy</t>
  </si>
  <si>
    <t>List here the test techniques used to define the test cases</t>
  </si>
  <si>
    <t>Derive the Test Strategy from the Test Goal and Test Approach and SW Master Test Plan.</t>
  </si>
  <si>
    <t xml:space="preserve">e.g.:  equivalence partitioning; boundary value analysis; state transition testing; error guessing; intuitive testing
</t>
  </si>
  <si>
    <r xmlns="http://schemas.openxmlformats.org/spreadsheetml/2006/main">
      <t>3</t>
    </r>
    <r xmlns="http://schemas.openxmlformats.org/spreadsheetml/2006/main">
      <rPr>
        <b/>
        <sz val="7"/>
        <rFont val="Arial"/>
        <family val="2"/>
      </rPr>
      <t xml:space="preserve">         </t>
    </r>
  </si>
  <si>
    <t>Test Environment</t>
  </si>
  <si>
    <t>If the test environment or the tools are mentioned at another location, then a short reference is enough; if not a detailed explanation is necessary. The following statements must be given:</t>
  </si>
  <si>
    <r xmlns="http://schemas.openxmlformats.org/spreadsheetml/2006/main">
      <t>3.1</t>
    </r>
    <r xmlns="http://schemas.openxmlformats.org/spreadsheetml/2006/main">
      <rPr>
        <b/>
        <sz val="7"/>
        <rFont val="Arial"/>
        <family val="2"/>
      </rPr>
      <t xml:space="preserve">        </t>
    </r>
  </si>
  <si>
    <t>Hardware Tools</t>
  </si>
  <si>
    <t>E.g. function generator for producing signals, CAN card type, CANCab type, external PC, ...</t>
  </si>
  <si>
    <t>CANcaseXL (no licence ), Test box, programmable powersupply</t>
  </si>
  <si>
    <r xmlns="http://schemas.openxmlformats.org/spreadsheetml/2006/main">
      <t>3.2</t>
    </r>
    <r xmlns="http://schemas.openxmlformats.org/spreadsheetml/2006/main">
      <rPr>
        <b/>
        <sz val="7"/>
        <rFont val="Arial"/>
        <family val="2"/>
      </rPr>
      <t xml:space="preserve">        </t>
    </r>
  </si>
  <si>
    <t>Software Tools</t>
  </si>
  <si>
    <t>E.g. general or special written test tools; do NOT forget to place revisions as well (CANoe version, CANoe simulation version, test system version, a.s.o.)</t>
  </si>
  <si>
    <t>CANoe simulation</t>
  </si>
  <si>
    <t xml:space="preserve">Important note:
1, '&lt;&gt;' indicates a mandatory parameter, where a parameter in '[]' is optional, '…' is placeholder means parameter count no limit(must be less than 256). '|' means "or",Each paramete be separated by spaces
2, Except "DECL_REG", all parameter that "Format" is string should include double quote("),if string include double quote("),you can use escape character "\" or use single quote( ') to replace it,e.g. "Does \"temp\" turn on?" or "Does 'temp' turn on?"
3, Every function that last parameter is not [...] has a optional output register to indicate this function execute result (error code), e.g, if you want set power supply channal 0 to 13.5V, both "setPowerSupplyVoltage 0 13.5" and setPowerSupplyVoltage 0 13.5 regResult" are right, the different is the latter has a [out_register_name] to store error code</t>
  </si>
  <si>
    <t>Function name</t>
  </si>
  <si>
    <t>Type</t>
  </si>
  <si>
    <t>Syntax</t>
  </si>
  <si>
    <t>Format</t>
  </si>
  <si>
    <t>Example</t>
  </si>
  <si>
    <t>System</t>
  </si>
  <si>
    <t xml:space="preserve">&lt;register_name1&gt;  […]</t>
  </si>
  <si>
    <t>&lt;string&gt; […]</t>
  </si>
  <si>
    <r xmlns="http://schemas.openxmlformats.org/spreadsheetml/2006/main">
      <t xml:space="preserve">Declare a register to store value or string
1,register_name shoud be start with letter or underscore
2,register_name shoud be end with number,letter or underscore
3,register_name shoud not include special character,e.g !,@,#,$,%,^,&amp;,*,(,),+,=,?,~  etc.
4,register_name do not need include double quotes("),the follows usage is wrong:
</t>
    </r>
    <r xmlns="http://schemas.openxmlformats.org/spreadsheetml/2006/main">
      <rPr>
        <sz val="11"/>
        <color rgb="FFFF0000"/>
        <rFont val="Calibri"/>
        <family val="2"/>
        <scheme val="minor"/>
      </rPr>
      <t xml:space="preserve">DECL_REG "result1"  &lt;- this is error usage
</t>
    </r>
  </si>
  <si>
    <t xml:space="preserve">DECL_REG result1
DECL_REG result2 reslut3 result4
</t>
  </si>
  <si>
    <t>&lt;macro_name&gt;</t>
  </si>
  <si>
    <t>&lt;string&gt;</t>
  </si>
  <si>
    <t>interpretes whatever is stored in &lt;in_out_register_name&gt; as a number and converts it into a string value. &lt;number_of_digits&gt; is interpreted as the number of digits in front of the decimal point and the optional precision parameter is interpreted as the nu</t>
  </si>
  <si>
    <t>CALL_MACRO K15_Setup</t>
  </si>
  <si>
    <t>WRITE_COMMENTS</t>
  </si>
  <si>
    <t>&lt;comments_string&gt;</t>
  </si>
  <si>
    <t>WRITE_RESULTVALUE</t>
  </si>
  <si>
    <t>Loop</t>
  </si>
  <si>
    <t>&lt;register = init_value&gt;; &lt;end_expression&gt;; &lt;condition_expression&gt;</t>
  </si>
  <si>
    <t>&lt;init_expression&gt;; &lt;end_expression&gt;; &lt;condition_expression&gt;</t>
  </si>
  <si>
    <t>this is "for" loop similar with C / C++ / C#</t>
  </si>
  <si>
    <r xmlns="http://schemas.openxmlformats.org/spreadsheetml/2006/main">
      <t xml:space="preserve">loopStart result1 = 0; result1 &lt; 10; result1 = result1 + 1
… (Actions between loopStart and loopEnd will be executed 10 times)
loopEnd
</t>
    </r>
    <r xmlns="http://schemas.openxmlformats.org/spreadsheetml/2006/main">
      <rPr>
        <sz val="11"/>
        <color rgb="FF00B0F0"/>
        <rFont val="Bosch Office Sans"/>
        <family val="2"/>
      </rPr>
      <t xml:space="preserve">
</t>
    </r>
    <r xmlns="http://schemas.openxmlformats.org/spreadsheetml/2006/main">
      <rPr>
        <sz val="11"/>
        <rFont val="Bosch Office Sans"/>
      </rPr>
      <t>loopStart ; ; ---&gt; this is as the same as while(1) in C / C++ / C#</t>
    </r>
    <r xmlns="http://schemas.openxmlformats.org/spreadsheetml/2006/main">
      <rPr>
        <sz val="11"/>
        <color theme="1"/>
        <rFont val="Bosch Office Sans"/>
        <family val="2"/>
      </rPr>
      <t xml:space="preserve">
…
loopEnd</t>
    </r>
  </si>
  <si>
    <t>/</t>
  </si>
  <si>
    <r xmlns="http://schemas.openxmlformats.org/spreadsheetml/2006/main">
      <t xml:space="preserve">label to tell software this is the last action for loop
</t>
    </r>
    <r xmlns="http://schemas.openxmlformats.org/spreadsheetml/2006/main">
      <rPr>
        <sz val="11"/>
        <color rgb="FFFF0000"/>
        <rFont val="Bosch Office Sans"/>
      </rPr>
      <t>Note: if missing loopEnd and loopBreak, loopStart is a endless loop</t>
    </r>
  </si>
  <si>
    <t xml:space="preserve">loopStart result1 = 0; result1 &lt; 10; result1 = result1 + 1
…
loopEnd</t>
  </si>
  <si>
    <t>loopBreak</t>
  </si>
  <si>
    <t>&lt;register == value&gt;</t>
  </si>
  <si>
    <t>&lt;condition_expression&gt;</t>
  </si>
  <si>
    <t xml:space="preserve">loopStart result1 = 0; result1 &lt; 10; result1 = result1 + 1
…
loopBreak result1 == 5  --&gt; if result1 = 5 then break this loop 
loopEnd</t>
  </si>
  <si>
    <t>loopCountinue</t>
  </si>
  <si>
    <t xml:space="preserve">loopStart result1 = 0; ; result1 = result1 + 1
…
loopCountinue result1 &lt;= 15  --&gt; if result1 &lt;= 15 then countine this loop 
loopEnd</t>
  </si>
  <si>
    <t>msgBox</t>
  </si>
  <si>
    <t>Popup window</t>
  </si>
  <si>
    <t>&lt;message_text | register_name&gt;</t>
  </si>
  <si>
    <t>Show a popup window with &lt;message_text&gt; and "OK" button</t>
  </si>
  <si>
    <t xml:space="preserve">msgBox "This is an example!"
the same as:
string_Cat regStr "This is an example!"
msgBox regStr</t>
  </si>
  <si>
    <t>msgBox_time</t>
  </si>
  <si>
    <t xml:space="preserve">&lt;message_text | register_name&gt;  &lt;time_ms | in_register_name&gt;</t>
  </si>
  <si>
    <t>&lt;string&gt; &lt;value&gt;</t>
  </si>
  <si>
    <t>Show a popup window with &lt;message_text&gt; and "OK" button,this window will close itself after &lt;time_ms&gt;</t>
  </si>
  <si>
    <t>msgBox "This is an example!" 1000</t>
  </si>
  <si>
    <t>msgBox_input</t>
  </si>
  <si>
    <t xml:space="preserve">&lt;title_text | in_register_name&gt;  &lt;out_register_name&gt;</t>
  </si>
  <si>
    <t>&lt;string&gt; &lt;string&gt;</t>
  </si>
  <si>
    <t xml:space="preserve">Show a popup window with &lt;title_text&gt;,input element,"OK" button and "Cancel" button,if click "OK" button, the string tester input  will store in &lt;out_register_name&gt;, if tester not input anyvalue and click "OK" button, then &lt;out_register_name&gt; = "0"</t>
  </si>
  <si>
    <t xml:space="preserve">msgBox_input "Please enter the initial value of the signal" regOut
if tester input 255 and click "OK" button, then regOut = "255",if tester click "Cancel" button, then regOut = "0"</t>
  </si>
  <si>
    <t>msgBox_input_time</t>
  </si>
  <si>
    <t>&lt;title_text | in_register_name&gt; [default_input_string | register_name] &lt;time_ms | in_register_name&gt; &lt;out_register_name&gt;</t>
  </si>
  <si>
    <t>&lt;string&gt; [string] &lt;value&gt; &lt;register&gt;</t>
  </si>
  <si>
    <t>Show like msgBox_input, the differents are this window will close itself in &lt;time_ms&gt; and it has [default_input_string] if tester assign it</t>
  </si>
  <si>
    <t xml:space="preserve">msgBox_input_time "Please enter the initial value of the signal" "255" 2000 regOut
if tester do nothing, after 2s, window will be closed auto and regOut = "255"
if not assign &lt;default_input_string&gt; and tester do nothing, regOut = "0" when window closed</t>
  </si>
  <si>
    <t>msgBox_warning</t>
  </si>
  <si>
    <t>&lt;warning_text | in_register_name&gt;</t>
  </si>
  <si>
    <t>Show like msgBox,but it has waring icon</t>
  </si>
  <si>
    <t xml:space="preserve">msgBox_Warning  "This is an example!"</t>
  </si>
  <si>
    <t>msgBox_ask</t>
  </si>
  <si>
    <t>&lt;question_text | in_register_name&gt; [expect_value_string]</t>
  </si>
  <si>
    <t>&lt;string&gt; [expect_value_string]</t>
  </si>
  <si>
    <t xml:space="preserve">1,Show like msgBox,but it has question icon and with "Pass" , "Fail" and "Skip" buttons
2,[expect_value_string] valid value is "Pass", "Fail", "Skip"</t>
  </si>
  <si>
    <t>msgBox_ask "Does it work?" "Pass"</t>
  </si>
  <si>
    <t>&lt;question_text | in_register_name&gt; &lt;regoster_comment&gt; [expect_value_string]</t>
  </si>
  <si>
    <t>&lt;string&gt; &lt;register&gt; [expect_value_string]</t>
  </si>
  <si>
    <t xml:space="preserve">1,Show like msgBox,but it has question icon, comments input area and with "Pass" , "Fail" and "Skip" buttons
2,[expect_value_string] valid value is "Pass", "Fail", "Skip"</t>
  </si>
  <si>
    <t xml:space="preserve">msgBox_ask_withcomment "Does it work?" regComment  "Pass"</t>
  </si>
  <si>
    <t>msgBox_getACKValue</t>
  </si>
  <si>
    <t xml:space="preserve">&lt;out_register_name&gt; </t>
  </si>
  <si>
    <t>&lt;register&gt;</t>
  </si>
  <si>
    <t xml:space="preserve">Get the Acknowledgement form the user by using “msgBox_ask_withcomment”  and "msgBox_ask"
1,&lt;out_register_name&gt;  store the value of ACK:
     1: Pass
     2: Fail
     3:Skip
     0: default, make no sense</t>
  </si>
  <si>
    <r xmlns="http://schemas.openxmlformats.org/spreadsheetml/2006/main">
      <t xml:space="preserve">msgBox_ask_withcomment "Does it work?" regComment  "Pass"
msgBox_getACKValue Result1  </t>
    </r>
    <r xmlns="http://schemas.openxmlformats.org/spreadsheetml/2006/main">
      <rPr>
        <sz val="11"/>
        <color rgb="FFFF0000"/>
        <rFont val="Bosch Office Sans"/>
      </rPr>
      <t>--&gt;if user click "Pass" button at popupwindow, then Result1 will store value 1</t>
    </r>
    <r xmlns="http://schemas.openxmlformats.org/spreadsheetml/2006/main">
      <rPr>
        <sz val="11"/>
        <color theme="1"/>
        <rFont val="Bosch Office Sans"/>
        <family val="2"/>
      </rPr>
      <t xml:space="preserve">
</t>
    </r>
  </si>
  <si>
    <t>time</t>
  </si>
  <si>
    <t>&lt;delay_time_ms | register_name&gt;</t>
  </si>
  <si>
    <t>&lt;value&gt;</t>
  </si>
  <si>
    <t xml:space="preserve">delay some milliseconds
1,&lt;delay_time_ms&gt; should be more than 0 and less than 
2,It dosen't make any  sense to set &lt;delay_time_ms&gt; equal 0
3, it will round down if set &lt;delay_time_ms&gt; as float. E.g  both 3.1 and 3.8  delay 3ms
</t>
  </si>
  <si>
    <t xml:space="preserve">delay 10
the same as:
math regTime = 10
delay regTime</t>
  </si>
  <si>
    <t>getYear</t>
  </si>
  <si>
    <t>&lt;out_register_name&gt; [data_length]</t>
  </si>
  <si>
    <t>&lt;string&gt; [value]</t>
  </si>
  <si>
    <t xml:space="preserve">Get current year and store value to &lt;out_register_name&gt;,the dafault [data_length] is 4 if not assign [data_length] 
1,this function return value range is from 1900 to 2099</t>
  </si>
  <si>
    <r xmlns="http://schemas.openxmlformats.org/spreadsheetml/2006/main">
      <t xml:space="preserve">DECL_REG regYear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getYear regYear  ---&gt;regYear = "2017"
getYear regYear 2 ---&gt; regYear = "17"
getYear regYear 1 ---&gt; regYear = "7"
getYear regYear 0 ---&gt; regYear = "2017"</t>
    </r>
  </si>
  <si>
    <t>getMonth</t>
  </si>
  <si>
    <t xml:space="preserve">Get current month and store value to &lt;out_register_name&gt;,the dafault [data_length] is 2 if not assign [data_length] 
1,this function return value range is from 1 to 12</t>
  </si>
  <si>
    <r xmlns="http://schemas.openxmlformats.org/spreadsheetml/2006/main">
      <t xml:space="preserve">DECL_REG regMonth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getMonth regMonth  ---regMonth = "07"
getMonth regMonth 1  ---regMonth = "7"
getMonth regMonth 0  ---regMonth = "07"</t>
    </r>
  </si>
  <si>
    <t>getDay</t>
  </si>
  <si>
    <t xml:space="preserve">Get current day and store value to &lt;out_register_name&gt;,the dafault [data_length] is 2 if not assign [data_length] 
1,this function return value range is from 1 to 31</t>
  </si>
  <si>
    <r xmlns="http://schemas.openxmlformats.org/spreadsheetml/2006/main">
      <t xml:space="preserve">DECL_REG regDay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getDay regDay  ---regDay = "15"
getDay regDay 1  ---regDay = "5"
getDay regDay 0  ---regDay = "15"</t>
    </r>
  </si>
  <si>
    <t>getHour</t>
  </si>
  <si>
    <t xml:space="preserve">Get current hour and store value to &lt;out_register_name&gt;,the dafault [data_length] is 2 if not assign [data_length] 
1,this function return value range is from 1 to 24</t>
  </si>
  <si>
    <r xmlns="http://schemas.openxmlformats.org/spreadsheetml/2006/main">
      <t xml:space="preserve">DECL_REG regHour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getHour regHour  ---regHour = "23"
getHour regHour 1  ---regHour = "3"
getHour regHour 0 ---regHour = "23"</t>
    </r>
  </si>
  <si>
    <t>getMinute</t>
  </si>
  <si>
    <t xml:space="preserve">Get current minute and store value to &lt;out_register_name&gt;,the dafault [data_length] is 2 if not assign [data_length] 
1,this function return value range is from 1 to 60</t>
  </si>
  <si>
    <r xmlns="http://schemas.openxmlformats.org/spreadsheetml/2006/main">
      <t xml:space="preserve">DECL_REG regMinute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getMinute regMinute  ---regMinute = "46"
getMinute regMinute 1 ---regMinute = "6"
getMinute regMinute  0 ---regMinute = "46"</t>
    </r>
  </si>
  <si>
    <t>getSecond</t>
  </si>
  <si>
    <t xml:space="preserve">Get current second and store value to &lt;out_register_name&gt;,the dafault [data_length] is 2 if not assign [data_length] 
1,this function return value range is from 1 to 60</t>
  </si>
  <si>
    <r xmlns="http://schemas.openxmlformats.org/spreadsheetml/2006/main">
      <t xml:space="preserve">DECL_REG regSecond </t>
    </r>
    <r xmlns="http://schemas.openxmlformats.org/spreadsheetml/2006/main">
      <rPr>
        <sz val="11"/>
        <color rgb="FFFF0000"/>
        <rFont val="Bosch Office Sans"/>
        <family val="2"/>
      </rPr>
      <t>&lt;-- It should be put into macro "mSys_Init"</t>
    </r>
    <r xmlns="http://schemas.openxmlformats.org/spreadsheetml/2006/main">
      <rPr>
        <sz val="11"/>
        <color theme="1"/>
        <rFont val="Bosch Office Sans"/>
        <family val="2"/>
      </rPr>
      <t xml:space="preserve">
getSecond regSecond  ---regSecond = "34"
getSecond regSecond 1 ---regSecond = "4"
getSecond regSecond 0 ---regSecond = "34"</t>
    </r>
  </si>
  <si>
    <t>getMillisecond</t>
  </si>
  <si>
    <t xml:space="preserve">Get current second and store value to &lt;out_register_name&gt;,the dafault [data_length] is 3 if not assign [data_length] 
1,this function return value range is from 1 to 1000</t>
  </si>
  <si>
    <r xmlns="http://schemas.openxmlformats.org/spreadsheetml/2006/main">
      <t>DECL_REG regms</t>
    </r>
    <r xmlns="http://schemas.openxmlformats.org/spreadsheetml/2006/main">
      <rPr>
        <sz val="11"/>
        <color rgb="FFFF0000"/>
        <rFont val="Bosch Office Sans"/>
        <family val="2"/>
      </rPr>
      <t xml:space="preserve"> &lt;-- It should be put into macro "mSys_Init"</t>
    </r>
    <r xmlns="http://schemas.openxmlformats.org/spreadsheetml/2006/main">
      <rPr>
        <sz val="11"/>
        <color theme="1"/>
        <rFont val="Bosch Office Sans"/>
        <family val="2"/>
      </rPr>
      <t xml:space="preserve">
getMillisecond regms  ---regms = "102"
getMillisecond regms 2  ---regms = "02"
getMillisecond regms 0 ---regms = "102"</t>
    </r>
  </si>
  <si>
    <t>getWeekOfYear</t>
  </si>
  <si>
    <t xml:space="preserve">Get current week of year and store value to &lt;out_register_name&gt;,the dafault [data_length] is 2 if not assign [data_length] 
1,this function return value range is from 1 to 53</t>
  </si>
  <si>
    <r xmlns="http://schemas.openxmlformats.org/spreadsheetml/2006/main">
      <t>DECL_REG regWeek</t>
    </r>
    <r xmlns="http://schemas.openxmlformats.org/spreadsheetml/2006/main">
      <rPr>
        <sz val="11"/>
        <color rgb="FFFF0000"/>
        <rFont val="Bosch Office Sans"/>
        <family val="2"/>
      </rPr>
      <t xml:space="preserve"> &lt;-- It should be put into macro "mSys_Init"</t>
    </r>
    <r xmlns="http://schemas.openxmlformats.org/spreadsheetml/2006/main">
      <rPr>
        <sz val="11"/>
        <color theme="1"/>
        <rFont val="Bosch Office Sans"/>
        <family val="2"/>
      </rPr>
      <t xml:space="preserve">
getWeekOfYear regWeek  ---regWeek = "29"
getWeekOfYear regWeek 1  ---regWeek = "9"
getWeekOfYear regWeek 0 ---regWeek = "29"</t>
    </r>
  </si>
  <si>
    <t>string</t>
  </si>
  <si>
    <r xmlns="http://schemas.openxmlformats.org/spreadsheetml/2006/main">
      <t>&lt;out_register_name&gt; &lt;input_text | in_register_name&gt; [...]</t>
    </r>
    <r xmlns="http://schemas.openxmlformats.org/spreadsheetml/2006/main">
      <rPr>
        <sz val="11"/>
        <color rgb="FFFF0000"/>
        <rFont val="Bosch Office Sans"/>
        <family val="2"/>
      </rPr>
      <t/>
    </r>
  </si>
  <si>
    <t>&lt;register&gt; &lt;string&gt; […]</t>
  </si>
  <si>
    <t xml:space="preserve">Combine string together
1,this function  always empty &lt;out_register_name&gt; first and then combine strings</t>
  </si>
  <si>
    <t xml:space="preserve">if regStrTarget and regStrSouce are registers already decleared
string_Cat regSouce "the first part"
string_Cat regTarget regSouce " and the seconde part"
the result is: regTarget = "the first part and the second part"
if use it like follows:
string_Cat regTarget "the first part"
string_Cat regTarget " and the seconde part"
the result is: regTarget = " and the second part"</t>
  </si>
  <si>
    <t>string_compare</t>
  </si>
  <si>
    <t>&lt;source_string | source_register_name&gt; &lt;target_string | target_register_name&gt; &lt;out_register_name&gt; [bool_flag]</t>
  </si>
  <si>
    <t>&lt;string&gt; &lt;string&gt; &lt;register&gt; &lt;bool&gt;</t>
  </si>
  <si>
    <t xml:space="preserve">Compare two strings
1,if [bool_flag] assigned to 0, then to strictly compare two strings,e.g, "Hello" and "hello" are different. Else if [bool_flag] assigned to 1, then compare string case-insensitive, e.g "Hello" and "HELLO" are the same. [bool_flag] default value is 0
2,&lt;out_register_name&gt; store compare result
    if &lt;source_string&gt; more than &lt;target_string&gt; then &lt;out_register_name&gt; = 1
   if &lt;source_string&gt; less than &lt;target_string&gt; then &lt;out_register_name&gt; = -1
if &lt;source_string&gt; equal to &lt;target_string&gt; then &lt;out_register_name&gt; = 0</t>
  </si>
  <si>
    <t xml:space="preserve">if regSouce  and regResult are registers already decleared
string_Cat regSouce "Hello"
string_compare regSouce "hello" regResult 1    --&gt; regResult = 0
string_compare regSouce "hello" regResult      --&gt; regResult = -1
string_compare "Hello" regSouce  regResult      --&gt; regResult = 1</t>
  </si>
  <si>
    <t>string_length</t>
  </si>
  <si>
    <t>&lt;source_text | in_register_name&gt; &lt;out_register_name&gt;</t>
  </si>
  <si>
    <t>&lt;string&gt; &lt;register&gt;</t>
  </si>
  <si>
    <t xml:space="preserve">Get the length of &lt;source_text&gt;
1,if &lt;source_text&gt; contain Chinese, the result maybe not correct</t>
  </si>
  <si>
    <t xml:space="preserve">string_length "Hello" regResult  ---&gt; regResult = 5</t>
  </si>
  <si>
    <t>string_insert</t>
  </si>
  <si>
    <t>&lt;source_text | in_register_name&gt; &lt;insert_text | in_register_name&gt; &lt;int_insert_position | in_register_name&gt; &lt;out_register_name&gt;</t>
  </si>
  <si>
    <t>&lt;string&gt; &lt;string&gt; &lt;value&gt; &lt;register&gt;</t>
  </si>
  <si>
    <r xmlns="http://schemas.openxmlformats.org/spreadsheetml/2006/main">
      <t xml:space="preserve"> Insert a string in &lt;source_text&gt; at &lt;int_insert_position&gt; and store new string to &lt;out_register_name&gt;
 </t>
    </r>
    <r xmlns="http://schemas.openxmlformats.org/spreadsheetml/2006/main">
      <rPr>
        <sz val="11"/>
        <color rgb="FFFF0000"/>
        <rFont val="Bosch Office Sans"/>
        <family val="2"/>
      </rPr>
      <t xml:space="preserve">Attention: The &lt;int_insert_position&gt; can not be greater than the length of the &lt;source_text&gt;. </t>
    </r>
  </si>
  <si>
    <t xml:space="preserve">string_insert "Hello World" "New " 6 regResult --&gt; regResult = "Hello New  World"</t>
  </si>
  <si>
    <t>&lt;source_text | in_register_name&gt; &lt;in_format_string | in_register_name&gt; &lt;out_register_name&gt;</t>
  </si>
  <si>
    <t>&lt;string&gt; &lt;string&gt; &lt;register&gt;</t>
  </si>
  <si>
    <r xmlns="http://schemas.openxmlformats.org/spreadsheetml/2006/main">
      <t xml:space="preserve">Uses &lt;in_format_string&gt; to parse the &lt;source_text&gt; and stores the result inside the &lt;out_register_name&gt;
Note: &lt;in_format_string&gt; please refer to </t>
    </r>
    <r xmlns="http://schemas.openxmlformats.org/spreadsheetml/2006/main">
      <rPr>
        <sz val="11"/>
        <color rgb="FF0070C0"/>
        <rFont val="Bosch Office Sans"/>
        <family val="2"/>
      </rPr>
      <t>Placeholders %s* %s</t>
    </r>
  </si>
  <si>
    <t xml:space="preserve">string_parse "Hello World Example" "%s*6%s5" regResult  --&gt; regResult = "World"</t>
  </si>
  <si>
    <t>string_pos</t>
  </si>
  <si>
    <t>&lt;source_text | in_register_name&gt; &lt;search_text | in_register_name&gt; &lt;out_register_name&gt;</t>
  </si>
  <si>
    <t>Check if a &lt;source_text&gt; exist in &lt;search_text&gt; and return the Position, else it will return -1</t>
  </si>
  <si>
    <t xml:space="preserve">string_pos "Hello World" "World" regResult  ---&gt; regResult = 7</t>
  </si>
  <si>
    <t>string_replace</t>
  </si>
  <si>
    <t>&lt;source_text | in_register_name&gt; &lt;old_text | in_register_name&gt; &lt;new_text | in_register_name&gt; &lt;out_register_name&gt;</t>
  </si>
  <si>
    <t>string_trimAll</t>
  </si>
  <si>
    <t>&lt;source_text | in_register_name&gt; [unwanted_comma_seperate_character] &lt;out_register_name&gt;</t>
  </si>
  <si>
    <t>Remove [unwanted_character] from &lt;source_text&gt;and store the new string to &lt;out_register_name&gt;, if not specify [unwanted_comma_seperate_character],then remove space,if [unwanted_comma_seperate_character] not exist, then &lt;out_register_name&gt; = &lt;source_text&gt;</t>
  </si>
  <si>
    <t xml:space="preserve">string_trimAll "Hello" "I" regResult  --&gt; regResult = "Heo"
string_trimAll "Hello" "l,o" regResult --&gt; regResult = "He"</t>
  </si>
  <si>
    <t>string_trimLeft</t>
  </si>
  <si>
    <t>&lt;source_text | in_register_name&gt; [unwanted_character] &lt;out_register_name&gt;</t>
  </si>
  <si>
    <t>Remove [unwanted_character] in front of &lt;source_text&gt;and store the new string to &lt;out_register_name&gt;, if not specify [unwanted_comma_seperate_character],then remove space,if [unwanted_comma_seperate_character] not exist, then &lt;out_register_name&gt; = &lt;source_text&gt;</t>
  </si>
  <si>
    <t xml:space="preserve">string_trimLeft "HellHo" "H" regResult  --&gt; regResult = "ellHo"</t>
  </si>
  <si>
    <t>string_trimRight</t>
  </si>
  <si>
    <t>Remove [unwanted_character] at the end of &lt;source_text&gt;and store the new string to &lt;out_register_name&gt;, if not specify [unwanted_comma_seperate_character],then remove space,if [unwanted_comma_seperate_character] not exist, then &lt;out_register_name&gt; = &lt;source_text&gt;</t>
  </si>
  <si>
    <t xml:space="preserve">string_trimRight "Hoello" "o" regResult  --&gt; regResult = "Hoell"</t>
  </si>
  <si>
    <t>string_stringToHex</t>
  </si>
  <si>
    <t>&lt;in_register_name&gt; &lt;number_of_bytes | in_register_name&gt;</t>
  </si>
  <si>
    <t>Converts &lt;number_of_bytes&gt; bytes from &lt;in_register_name&gt; into a string. &lt;in_register_name&gt; content "[0x]101" as a hexadecimal number, will look like "01 01"</t>
  </si>
  <si>
    <t xml:space="preserve">string_cat regResult "7F652024"
string_stringToHex regResult 4  --&gt; regResult = "7F 65 20 24"</t>
  </si>
  <si>
    <t xml:space="preserve">&lt;in_int_value | in_register_name&gt;&lt;out_register_name&gt; [width | in_register_name] </t>
  </si>
  <si>
    <t xml:space="preserve">&lt;value&gt; &lt;register&gt;[value] </t>
  </si>
  <si>
    <t>Converts &lt;in_int_value&gt; to hexadecimal number.[width] default value is 4</t>
  </si>
  <si>
    <t xml:space="preserve">string_intToHex 123 regResult 4 --&gt;regResult = "007B"
string_intToHex 123 regResult 2 --&gt;regResult = "7B"</t>
  </si>
  <si>
    <t>&lt;base_index_text | in_register_name&gt; &lt;in_out_register_name&gt;</t>
  </si>
  <si>
    <t xml:space="preserve">Converts whatever is stored in &lt;in_out_register_name&gt; from string into an integer. The base index defines the type of data source (H or h)=hexadecimal, (B or b)=binary, (D or d)=decimal, (O or o)=octal
Attention:Please keep in mind that integer data range is limited to LONG_MIN(-2147483647 or less) and LONG_MAX( 2147483647). </t>
  </si>
  <si>
    <t xml:space="preserve">string_cat regResult "11111111"
string_stringToInt "b" regResult   --&gt; regResult = -1
string_cat regResult "7F"
string_stringToInt "H" regResult  --&gt; regResult = 127</t>
  </si>
  <si>
    <t>string_intToString</t>
  </si>
  <si>
    <t>&lt;in_out_register_name&gt; &lt;number_of_digits | in_register_name&gt; [precision | in_register_name]</t>
  </si>
  <si>
    <t>&lt;register&gt; &lt;value&gt; [value]</t>
  </si>
  <si>
    <t xml:space="preserve">Interpretes whatever is stored in &lt;in_out_register_name&gt; as a number and converts it into a string value. &lt;number_of_digits&gt; is interpreted as the number of digits in front of the decimal point and the optional precision parameter is interpreted as the number of digits after the decimal point. if &lt;number_of_digits&gt; less than number that store in &lt;in_out_register_name&gt; width, then &lt;number_of_digits&gt; will be skip by software
Attention: If you do not specify [precision] the function will round to the nearest number ( eg 11.2 becomes 11, 12.7 becomes 13) before the string conversion. Missing &lt;number_of_digits&gt; will be filled up with "0"s. </t>
  </si>
  <si>
    <t xml:space="preserve">math regResult1 = 1234567890.123456
math regResult2 = regResult1
string_intToString regResult1 10  --&gt; regResult1 = "1234567890"
string_intToStringregResult2 5 2  --&gt; regResult2 = "1234567890.12"
math regResult1 = 1234
string_intToString regResult1 10  --&gt; regResult1 = "0000001234"</t>
  </si>
  <si>
    <t>string_asciiHexToStr</t>
  </si>
  <si>
    <t>&lt;in_out_register_name&gt;</t>
  </si>
  <si>
    <t>Converts &lt;in_out_register_name&gt; from AsciiHex into ASCII string. Very useful if you want to verify something from the version database with AsciiHex values from DUT</t>
  </si>
  <si>
    <t xml:space="preserve">string_cat regResult "42 53 37 54 2D 31 38 4B 39 33 31 2D 41 43"
string_asciiHexToStr regResult  --&gt; regResult = "BS7T-18K931-AC"</t>
  </si>
  <si>
    <t>string_toUpper</t>
  </si>
  <si>
    <t xml:space="preserve">Converts whatever is stored in &lt;in_out_register_name&gt; in to uppercase letters. </t>
  </si>
  <si>
    <t xml:space="preserve">string_cat regResult "abcdef"
string_toUpper regResult  --&gt; regResult = "ABCDEF"</t>
  </si>
  <si>
    <t>string_toLower</t>
  </si>
  <si>
    <t xml:space="preserve">Converts whatever is stored in &lt;in_out_register_name&gt; to lowercase letters. </t>
  </si>
  <si>
    <t xml:space="preserve">string_cat regResult "ABCDEF"
string_toLower regResult  --&gt; regResult = "abcdef"</t>
  </si>
  <si>
    <t>string_placeHolder</t>
  </si>
  <si>
    <t>&lt; out_register_name&gt;&lt;source_text &gt; [ in_register_name]…</t>
  </si>
  <si>
    <t xml:space="preserve">math Result1 = 100
string_placeHolder Result2 "Hello %d" Result1 -&gt; Result2 = "Hello 100"</t>
  </si>
  <si>
    <t>&lt;out_register_name&gt; = [Operator] &lt;Operand1_Register | Value&gt; [Operator] [Operand2_Register | Value] […]</t>
  </si>
  <si>
    <t>&lt;register&gt; = &lt;expression&gt;</t>
  </si>
  <si>
    <r xmlns="http://schemas.openxmlformats.org/spreadsheetml/2006/main">
      <t xml:space="preserve">used for most of the mathematical operators and functions.As it is implemented now, it can have any number of valid operators and operands. It also supports brackets. Presently the limit for maximum number of brackets in an expression is 26. It covers all the basic functions needed in a test environment. Operators follow a strict precedence, which defines the evaluation order of expressions containing these operators. Operators associate with either the expression on their left or the expression on their right; this is called "associativity." The following table shows the precedence and associativity of operators (from highest to lowest precedence).Operators in the same segment of the table have equal precedence. 
</t>
    </r>
    <r xmlns="http://schemas.openxmlformats.org/spreadsheetml/2006/main">
      <rPr>
        <strike/>
        <sz val="11"/>
        <rFont val="Bosch Office Sans"/>
      </rPr>
      <t>//Note: Every operator or value need be seperated by space!!</t>
    </r>
    <r xmlns="http://schemas.openxmlformats.org/spreadsheetml/2006/main">
      <rPr>
        <sz val="11"/>
        <rFont val="Bosch Office Sans"/>
        <family val="2"/>
      </rPr>
      <t xml:space="preserve">
</t>
    </r>
    <r xmlns="http://schemas.openxmlformats.org/spreadsheetml/2006/main">
      <rPr>
        <sz val="11"/>
        <color rgb="FFFF0000"/>
        <rFont val="Bosch Office Sans"/>
      </rPr>
      <t>对空格没有特殊要求, 单目运算符(sin,cos,round....)在不加"()"的情况下需要加空格</t>
    </r>
    <r xmlns="http://schemas.openxmlformats.org/spreadsheetml/2006/main">
      <rPr>
        <sz val="11"/>
        <rFont val="Bosch Office Sans"/>
        <family val="2"/>
      </rPr>
      <t xml:space="preserve">
</t>
    </r>
    <r xmlns="http://schemas.openxmlformats.org/spreadsheetml/2006/main">
      <rPr>
        <b/>
        <sz val="11"/>
        <rFont val="Bosch Office Sans"/>
        <family val="2"/>
      </rPr>
      <t xml:space="preserve">Operator       Function
</t>
    </r>
    <r xmlns="http://schemas.openxmlformats.org/spreadsheetml/2006/main">
      <rPr>
        <sz val="11"/>
        <rFont val="Bosch Office Sans"/>
        <family val="2"/>
      </rPr>
      <t xml:space="preserve">roundup
rounddown     </t>
    </r>
    <r xmlns="http://schemas.openxmlformats.org/spreadsheetml/2006/main">
      <rPr>
        <b/>
        <sz val="11"/>
        <rFont val="Bosch Office Sans"/>
        <family val="2"/>
      </rPr>
      <t xml:space="preserve">  
 </t>
    </r>
    <r xmlns="http://schemas.openxmlformats.org/spreadsheetml/2006/main">
      <rPr>
        <sz val="11"/>
        <rFont val="Bosch Office Sans"/>
        <family val="2"/>
      </rPr>
      <t>(                     Implements open bracket</t>
    </r>
    <r xmlns="http://schemas.openxmlformats.org/spreadsheetml/2006/main">
      <rPr>
        <b/>
        <sz val="11"/>
        <rFont val="Bosch Office Sans"/>
        <family val="2"/>
      </rPr>
      <t xml:space="preserve">
</t>
    </r>
    <r xmlns="http://schemas.openxmlformats.org/spreadsheetml/2006/main">
      <rPr>
        <sz val="11"/>
        <rFont val="Bosch Office Sans"/>
        <family val="2"/>
      </rPr>
      <t xml:space="preserve"> )                     Implements close bracket
 rand               Generates a random number between default value 0 and 32767
 round             Rounds a number to a whole-number
 sqrt                Computes the positive square of an argument
 sin                 Computes sine of an angle. The angle is specified in radians
 arcsin            Computes arcsine of an angle. The angle is specified in radians 
 cos                Computes cosine of an angle. The angle is specified in radians
 arscos          Computes arccosine of an angle. The angle is specified in radians
 tan                Computes tangens of an angle. The angle is specified in radians
 arctan           Computes arctangens of an angle. The angle is specified in radians 
 abs               Computes absolute value of a number
 ln                   Computes the natural logarithm ln of a number
log                 log(125,5)=3
 pow              Performs power routine of Math. e.g pow(x,y)
 *                   Computes multiplication of two numbers
 /                    Computes division of two numbers
 %                 Computes modulus of two numbers
 +                   Computes addition of two numbers
 -                   Computes subtraction of two numbers
 &lt;&lt;                 Bitwise left shift
 &gt;&gt;                 Bitwise right shift
 &lt;                  Performs Less than. The result is either 1(true) or 0(false)
 &gt;                  Performs Greater than. The result is either 1(true) or 0(false)
 &gt;=                Performs Less than or equal to. The result is either 1(true) or 0(false)
 &lt;=              Performs Greater than or equal to. The result is either 1(true) or 0(false)
 ==                 Performs Equality. The result is either 1(true) or 0(false)
 !=                   Performs Inequality. The result is either 1(true) or 0(false)
 &amp;                   Performs Bitwise-AND
 ^                     Performs Bitwise-exclusive-OR
 |                      Performs Bitwise-inclusive-OR
 &amp;&amp;                Performs Logical-AND. The result is either 1(true) or 0(false)
 ||                   Performs Logical-OR. The result is either 1(true) or 0(false)
 min                 Return smaler operand
 max               Return bigger operand
 =                    Performs Assignment</t>
    </r>
  </si>
  <si>
    <r xmlns="http://schemas.openxmlformats.org/spreadsheetml/2006/main">
      <rPr>
        <sz val="11"/>
        <color rgb="FFFF0000"/>
        <rFont val="Bosch Office Sans"/>
        <family val="2"/>
      </rPr>
      <t>All numbers can be replaced by register_name which contain values</t>
    </r>
    <r xmlns="http://schemas.openxmlformats.org/spreadsheetml/2006/main">
      <rPr>
        <sz val="11"/>
        <color theme="1"/>
        <rFont val="Bosch Office Sans"/>
        <family val="2"/>
      </rPr>
      <t xml:space="preserve">
math regResult = ( sin 90 * 100 / 2 ) + ( 10 / 5 )    --&gt; regResult = 52
math regResult = rand % 1000   --&gt;regResult = [0, 999]
math regResult = round 2.156  --&gt;regResult = 2
math regResult = round 2.68  --&gt; regResult = 3
math regResult = pow ( 2 , 3 )  --&gt; regResult = 8
math regResult = sqrt ( 16 )  --&gt; regResult = 4
math regResult = arcsin 1 --&gt; regResult = 90
math regResult = abs -12.78  --&gt; regResult = 12.78
math regResult = 1 &lt;&lt; 3  --&gt; regResult = 8
math regResult = 80 &gt;&gt; 3 --&gt; regResult = 10
math regResult = 12 &gt; ( 21 / 7 )  --&gt; regResult = 1
math regResult = ( 9 - 4 ) &lt;= ( 6 / 3 )  --&gt; regResult = 0
math regResult = ( 8 / 2 ) == 4   --&gt; regResult = 1
math regResult = 3 &amp; 4    --&gt; regResult = 0
math regResult = 3 | 4  --&gt; regResult = 7
math regResult = 3 ^ 10 --&gt; regResult = 9
math regResult = ( 10 &lt; 100 ) &amp;&amp; ( 3 &gt; 1 ) --&gt; regResult = 1
math regResult = ( 10 &lt; 100 ) &amp;&amp; ( 3 &lt; 1 ) --&gt; regResult = 0
math regResult = ( 10 &lt; 100 ) || ( 3 &gt; 1 ) --&gt; regResult = 1
math regResult = ( 10 &lt; 100 ) || ( 3 &lt; 1 ) --&gt; regResult = 1
math regResult = ( 10 &gt;100 ) || ( 3 &lt; 1 ) --&gt; regResult = 0
math regResult = min ( 3 , 4 ) --&gt; regResult = 3
math regResult = max ( 3 , 4 ) --&gt; regResult = 4</t>
    </r>
  </si>
  <si>
    <t>Verify</t>
  </si>
  <si>
    <t>&lt;input_value | in_register_name&gt; &lt;min_value | in_register_name&gt; &lt;max_value | in_register_name&gt;</t>
  </si>
  <si>
    <t>&lt;value | string&gt; &lt;value&gt; [value]</t>
  </si>
  <si>
    <t>Check the value</t>
  </si>
  <si>
    <t xml:space="preserve">can_vt_open 1 500000 Result2
checkLimit Result2 0 0</t>
  </si>
  <si>
    <t>&lt;input_value | in_register_name&gt; &lt;min_value | in_register_name&gt;&lt;max_value | in_register_name&gt; &lt;string_Error_Msg&gt;</t>
  </si>
  <si>
    <t>&lt;value | string&gt; &lt;value&gt; &lt;value&gt; &lt;string&gt;</t>
  </si>
  <si>
    <t>Check the value and pop-up a window with error messaef &lt;string_Error_Msg&gt; if the value not between in &lt;min_value&gt; and &lt;max_value&gt;</t>
  </si>
  <si>
    <t xml:space="preserve">can_vt_open 1 500000 Result2
throw_ErrMsg Result2 0 0 "Open CAN Tool Error！"</t>
  </si>
  <si>
    <t>CAN HW</t>
  </si>
  <si>
    <r xmlns="http://schemas.openxmlformats.org/spreadsheetml/2006/main">
      <t>&lt;channel&gt; &lt;baudrate&gt;[return_register_name]</t>
    </r>
    <r xmlns="http://schemas.openxmlformats.org/spreadsheetml/2006/main">
      <rPr>
        <sz val="11"/>
        <color rgb="FFFF0000"/>
        <rFont val="Bosch Office Sans"/>
        <family val="2"/>
      </rPr>
      <t/>
    </r>
  </si>
  <si>
    <t>&lt;value&gt; &lt;value&gt;</t>
  </si>
  <si>
    <t>open vector CANcase (VN1630A etc.) meanwhile set baudrate</t>
  </si>
  <si>
    <t>can_vt_open 1 500000 Result2</t>
  </si>
  <si>
    <t>&lt;channel&gt;[return_register_name]</t>
  </si>
  <si>
    <t>Close vector CANcase</t>
  </si>
  <si>
    <t>can_vt_close 1</t>
  </si>
  <si>
    <t>can_vt_setBaudrate</t>
  </si>
  <si>
    <t>&lt;channel&gt; &lt;bradrate&gt;[return_register_name]</t>
  </si>
  <si>
    <t>Set vector CANcase baudrate</t>
  </si>
  <si>
    <t>can_vt_setBaudrate 1 500000</t>
  </si>
  <si>
    <t>can_vt_getBaudrate</t>
  </si>
  <si>
    <t>&lt;channel&gt; &lt;out_register_name&gt;</t>
  </si>
  <si>
    <t>&lt;value&gt; &lt;register&gt;</t>
  </si>
  <si>
    <t>Get vet CANcase baudrate</t>
  </si>
  <si>
    <t>can_vt_getBaudrate 1 Result1 -&gt; Result1=500000</t>
  </si>
  <si>
    <r xmlns="http://schemas.openxmlformats.org/spreadsheetml/2006/main">
      <rPr>
        <sz val="11"/>
        <color rgb="FFFF0000"/>
        <rFont val="Calibri"/>
        <family val="2"/>
        <scheme val="minor"/>
      </rPr>
      <t xml:space="preserve">[channel] </t>
    </r>
    <r xmlns="http://schemas.openxmlformats.org/spreadsheetml/2006/main">
      <rPr>
        <sz val="11"/>
        <rFont val="Calibri"/>
        <family val="2"/>
        <scheme val="minor"/>
      </rPr>
      <t>&lt;message_ID | in_register_name&gt; &lt;send_type_value&gt;</t>
    </r>
  </si>
  <si>
    <t>&lt;value&gt; &lt;string&gt; [value]</t>
  </si>
  <si>
    <r xmlns="http://schemas.openxmlformats.org/spreadsheetml/2006/main">
      <t>1, CAN tool channel number, valid value is</t>
    </r>
    <r xmlns="http://schemas.openxmlformats.org/spreadsheetml/2006/main">
      <rPr>
        <sz val="11"/>
        <color rgb="FFFF0000"/>
        <rFont val="Bosch Office Sans"/>
      </rPr>
      <t xml:space="preserve"> 1 to 8</t>
    </r>
    <r xmlns="http://schemas.openxmlformats.org/spreadsheetml/2006/main">
      <rPr>
        <sz val="11"/>
        <rFont val="Bosch Office Sans"/>
        <family val="2"/>
      </rPr>
      <t xml:space="preserve">
2,&lt;message_ID&gt; is message name in dbc file or message address in hex value or decimal
3, [send_type_value] valid values are </t>
    </r>
    <r xmlns="http://schemas.openxmlformats.org/spreadsheetml/2006/main">
      <rPr>
        <b/>
        <sz val="11"/>
        <color rgb="FFFF0000"/>
        <rFont val="Bosch Office Sans"/>
      </rPr>
      <t xml:space="preserve">1,2 and 3;
        </t>
    </r>
    <r xmlns="http://schemas.openxmlformats.org/spreadsheetml/2006/main">
      <rPr>
        <sz val="11"/>
        <rFont val="Bosch Office Sans"/>
        <family val="2"/>
      </rPr>
      <t xml:space="preserve"> </t>
    </r>
    <r xmlns="http://schemas.openxmlformats.org/spreadsheetml/2006/main">
      <rPr>
        <b/>
        <sz val="11"/>
        <color rgb="FFFF0000"/>
        <rFont val="Bosch Office Sans"/>
      </rPr>
      <t>1</t>
    </r>
    <r xmlns="http://schemas.openxmlformats.org/spreadsheetml/2006/main">
      <rPr>
        <sz val="11"/>
        <rFont val="Bosch Office Sans"/>
        <family val="2"/>
      </rPr>
      <t xml:space="preserve"> means send message once time;
         </t>
    </r>
    <r xmlns="http://schemas.openxmlformats.org/spreadsheetml/2006/main">
      <rPr>
        <b/>
        <sz val="11"/>
        <color rgb="FFFF0000"/>
        <rFont val="Bosch Office Sans"/>
      </rPr>
      <t>2</t>
    </r>
    <r xmlns="http://schemas.openxmlformats.org/spreadsheetml/2006/main">
      <rPr>
        <sz val="11"/>
        <rFont val="Bosch Office Sans"/>
        <family val="2"/>
      </rPr>
      <t xml:space="preserve"> means send messge cyclic,message period is "GenMsgCycleTime" in dbc file,;
         </t>
    </r>
    <r xmlns="http://schemas.openxmlformats.org/spreadsheetml/2006/main">
      <rPr>
        <b/>
        <sz val="11"/>
        <color rgb="FFFF0000"/>
        <rFont val="Bosch Office Sans"/>
      </rPr>
      <t>3</t>
    </r>
    <r xmlns="http://schemas.openxmlformats.org/spreadsheetml/2006/main">
      <rPr>
        <sz val="11"/>
        <rFont val="Bosch Office Sans"/>
        <family val="2"/>
      </rPr>
      <t xml:space="preserve"> means send message by event,message period and nubmer of repetition are   
            "GenMsgCycleTimeFast" and "GenMsgNrOfRepetition" in dbc file</t>
    </r>
  </si>
  <si>
    <t xml:space="preserve">can_vt_sendMsg 1 ABS3 2
can_vt_sendMsg 1 PEPS 3</t>
  </si>
  <si>
    <r xmlns="http://schemas.openxmlformats.org/spreadsheetml/2006/main">
      <rPr>
        <sz val="11"/>
        <color rgb="FFFF0000"/>
        <rFont val="Calibri"/>
        <family val="2"/>
        <scheme val="minor"/>
      </rPr>
      <t>[channel]</t>
    </r>
    <r xmlns="http://schemas.openxmlformats.org/spreadsheetml/2006/main">
      <rPr>
        <sz val="11"/>
        <rFont val="Calibri"/>
        <family val="2"/>
        <scheme val="minor"/>
      </rPr>
      <t xml:space="preserve"> &lt;message_ID | in_register_name&gt; &lt;out_register_name&gt;</t>
    </r>
  </si>
  <si>
    <t>&lt;value&gt; &lt;value&gt; [string] &lt;register&gt;</t>
  </si>
  <si>
    <t>1,&lt;message_ID&gt; is message name in dbc file or message address in hex value(0x) or decimal</t>
  </si>
  <si>
    <t>can_vt_recvMsg 1 ABS3 Result1</t>
  </si>
  <si>
    <t>can_vt_ChangeMsgCyc</t>
  </si>
  <si>
    <r xmlns="http://schemas.openxmlformats.org/spreadsheetml/2006/main">
      <rPr>
        <sz val="11"/>
        <color rgb="FFFF0000"/>
        <rFont val="Calibri"/>
        <family val="2"/>
        <scheme val="minor"/>
      </rPr>
      <t>[channel]</t>
    </r>
    <r xmlns="http://schemas.openxmlformats.org/spreadsheetml/2006/main">
      <rPr>
        <sz val="11"/>
        <rFont val="Calibri"/>
        <family val="2"/>
        <scheme val="minor"/>
      </rPr>
      <t xml:space="preserve"> &lt;message_ID | in_register_name&gt; &lt;cycletime_ms&gt;&lt;cyclecnt&gt;</t>
    </r>
  </si>
  <si>
    <t>&lt;value&gt; &lt;string&gt; &lt;value&gt;&lt;value&gt;</t>
  </si>
  <si>
    <r xmlns="http://schemas.openxmlformats.org/spreadsheetml/2006/main">
      <t>1,&lt;message_ID&gt;</t>
    </r>
    <r xmlns="http://schemas.openxmlformats.org/spreadsheetml/2006/main">
      <rPr>
        <sz val="11"/>
        <color theme="1"/>
        <rFont val="Bosch Office Sans"/>
      </rPr>
      <t>is message name in dbc file or message address in hex value or decimal</t>
    </r>
    <r xmlns="http://schemas.openxmlformats.org/spreadsheetml/2006/main">
      <rPr>
        <sz val="11"/>
        <color theme="1"/>
        <rFont val="Bosch Office Sans"/>
        <family val="2"/>
      </rPr>
      <t xml:space="preserve">
2, &lt;cycletime&gt;</t>
    </r>
    <r xmlns="http://schemas.openxmlformats.org/spreadsheetml/2006/main">
      <rPr>
        <sz val="11"/>
        <color theme="1"/>
        <rFont val="Bosch Office Sans"/>
      </rPr>
      <t>message cycle, ignore "GenMsgCycleTime" value in dbc. &lt;cycletime&gt; resolution is 10</t>
    </r>
    <r xmlns="http://schemas.openxmlformats.org/spreadsheetml/2006/main">
      <rPr>
        <sz val="11"/>
        <color theme="1"/>
        <rFont val="FangSong"/>
        <family val="3"/>
        <charset val="134"/>
      </rPr>
      <t xml:space="preserve">
3</t>
    </r>
    <r xmlns="http://schemas.openxmlformats.org/spreadsheetml/2006/main">
      <rPr>
        <sz val="11"/>
        <color theme="1"/>
        <rFont val="Bosch Office Sans"/>
        <family val="2"/>
      </rPr>
      <t>, &lt;cyclecnt&gt;number of message send by &lt;cycletime&gt;</t>
    </r>
    <r xmlns="http://schemas.openxmlformats.org/spreadsheetml/2006/main">
      <rPr>
        <sz val="11"/>
        <color theme="1"/>
        <rFont val="Bosch Office Sans"/>
      </rPr>
      <t>，range is from 0 to MAX(INT);  0 means ignore "GenMsgCycleTime" value forever</t>
    </r>
  </si>
  <si>
    <t xml:space="preserve">Assume ABS3 "GenMsgCycleTime" value is 50ms in dbc file.
can_vt_ChangeMsgCyc 1 ABS3 20 10  -&gt; Send ABS3 message 10 times by 20ms cycle time then change to 50ms cycle time
can_vt_ChangeMsgCyc 1 ABS3 20 0  -&gt; Send ABS3 message  by 20ms cycle time 25 days</t>
  </si>
  <si>
    <r xmlns="http://schemas.openxmlformats.org/spreadsheetml/2006/main">
      <rPr>
        <sz val="11"/>
        <color rgb="FFFF0000"/>
        <rFont val="Calibri"/>
        <family val="2"/>
        <scheme val="minor"/>
      </rPr>
      <t>[channel]</t>
    </r>
    <r xmlns="http://schemas.openxmlformats.org/spreadsheetml/2006/main">
      <rPr>
        <sz val="11"/>
        <color theme="1"/>
        <rFont val="Calibri"/>
        <family val="2"/>
        <scheme val="minor"/>
      </rPr>
      <t xml:space="preserve"> &lt;message_ID | register_name&gt;&lt;pausetime_ms&gt;</t>
    </r>
  </si>
  <si>
    <t>&lt;value&gt; &lt;string&gt; &lt;value&gt;</t>
  </si>
  <si>
    <r xmlns="http://schemas.openxmlformats.org/spreadsheetml/2006/main">
      <t xml:space="preserve">1,&lt;message_ID&gt;is message name in dbc file or message address in hex value or decimal
2, &lt;pausetime&gt; pause time(ms) </t>
    </r>
    <r xmlns="http://schemas.openxmlformats.org/spreadsheetml/2006/main">
      <rPr>
        <sz val="11"/>
        <color theme="1"/>
        <rFont val="Bosch Office Sans"/>
      </rPr>
      <t xml:space="preserve"> range is from 0 to MAX(INT);  0 means stop send message forever untill tester use "can_vt_sendMsg" to re-send message</t>
    </r>
  </si>
  <si>
    <t xml:space="preserve">can_vt_stopMsg 1 ABS3 500  -&gt; Pause ABS3 message 500ms
can_vt_stopMsg 1 ABS3 0  -&gt; Stop ABS3 message</t>
  </si>
  <si>
    <t>can_vt_stopAll</t>
  </si>
  <si>
    <r xmlns="http://schemas.openxmlformats.org/spreadsheetml/2006/main">
      <rPr>
        <sz val="11"/>
        <color rgb="FFFF0000"/>
        <rFont val="Calibri"/>
        <family val="2"/>
        <scheme val="minor"/>
      </rPr>
      <t>[channel]</t>
    </r>
    <r xmlns="http://schemas.openxmlformats.org/spreadsheetml/2006/main">
      <rPr>
        <sz val="11"/>
        <color theme="1"/>
        <rFont val="Calibri"/>
        <family val="2"/>
        <scheme val="minor"/>
      </rPr>
      <t xml:space="preserve"> &lt;stoptime_ms&gt;</t>
    </r>
  </si>
  <si>
    <t>&lt;value&gt;&lt;value&gt;</t>
  </si>
  <si>
    <t xml:space="preserve">Stop all current sending messages
1 ,&lt;stoptime&gt;stop time(ms)  range is from 0 to MAX(INT);  0 means stop send message 25 days untill tester use "can_vt_sendMsg" to re-send message</t>
  </si>
  <si>
    <t>can_vt_stopAll 1 2000-&gt; stop channel 1 all current sending messages 2s</t>
  </si>
  <si>
    <t>can_vt_startAll</t>
  </si>
  <si>
    <t xml:space="preserve">[channel] </t>
  </si>
  <si>
    <t xml:space="preserve">Start all config  messages</t>
  </si>
  <si>
    <t>can_vt_startAll 1</t>
  </si>
  <si>
    <t>DBC</t>
  </si>
  <si>
    <t>&lt;dbc_path_with_name_and_extention&gt;[return_register_name]</t>
  </si>
  <si>
    <t>Open dbc file</t>
  </si>
  <si>
    <t>dbc_open "C:\\User\\CHB121.dbc" Result1</t>
  </si>
  <si>
    <t>dbc_getSignal</t>
  </si>
  <si>
    <t>&lt;signal_name&gt; &lt;out_register_name&gt;[&lt;signal_name&gt; &lt;out_register_name&gt;]…</t>
  </si>
  <si>
    <t>&lt;string&gt;&lt;register&gt;</t>
  </si>
  <si>
    <t>Get current signal value and instore to register</t>
  </si>
  <si>
    <t xml:space="preserve">dbc_getSignal EngSpd Result1
dbc_getSignal FrontFogLmpSts Result1 ParkLightLmpSts Result2 EngSpd Result3</t>
  </si>
  <si>
    <t>&lt;signal_name&gt; &lt;value | in_register_name&gt;[&lt;signal_name&gt; &lt;value | in_register_name&gt;]…</t>
  </si>
  <si>
    <t xml:space="preserve">Set signal value
</t>
  </si>
  <si>
    <t xml:space="preserve">dbc_setSignal  EngSpd 500
math Result1 = 1000
dbc_setSignal  EngSpd Result1
dbc_setSignal  EngSpd Result1 FrontFogLmpSts 1</t>
  </si>
  <si>
    <t>dbc_perodicSetSignal</t>
  </si>
  <si>
    <t>&lt;Group_value | Group_register_name&gt;;&lt;signal_name&gt; &lt;value | in_register_name&gt;[value | in_register_name]…[time];[&lt;signal_name&gt; &lt;value | in_register_name&gt; [value | in_register_name][time] ];…&lt;Inter_Cycle_Time&gt;[Inter_Cycle_Time]…</t>
  </si>
  <si>
    <t xml:space="preserve">Periodic set signal list value
&lt;Group&gt; the signal list group value, should be more than 0, change this value if call this function each time
[time]: signal delay time, start with '#'
&lt;[Inter_Cycle_Time]&gt;: Time of to periodic set signal list value, the minmun value is sum of all signals sending cycle time</t>
  </si>
  <si>
    <r xmlns="http://schemas.openxmlformats.org/spreadsheetml/2006/main">
      <t>e.g 1:
dbc_perodicSetSignal 1; LeftTurnLampSts_BCM1 1 0 #10; RightTurnLampSts_BCM1 1 0;500
        description: 
        This is to simulate Hazard(turn left light  flashing and turn right light flashing at the same time) function
       Process:
       First, ATS set signal LeftTurnLampSts_BCM1 to 1 and delay 10ms, then set signal RightTurnLampSts_BCM1 to 1
       Second, delay 500ms
       Third,  ATS set signal LeftTurnLampSts_BCM1 to 0 and delay 10ms, then set signal RightTurnLampSts_BCM1 to 0
       Fourth, delay 500ms and cycle from first step.
e.g 2:
dbc_perodicSetSignal 1; LeftTurnLampSts_BCM1 1 0; RightTurnLampSts_BCM1 1 0;500 1000
        description: 
        This is to simulate Hazard(turn left light  flashing and turn right light flashing at the same time) function
       Process:
       First, ATS set signal LeftTurnLampSts_BCM1 to 1 , then set signal RightTurnLampSts_BCM1 to 1
       Second, delay 500ms
       Third,  ATS set signal LeftTurnLampSts_BCM1 to 0 and delay 10ms, then set signal RightTurnLampSts_BCM1 to 0
       Fourth, delay</t>
    </r>
    <r xmlns="http://schemas.openxmlformats.org/spreadsheetml/2006/main">
      <rPr>
        <b/>
        <sz val="14"/>
        <color rgb="FF0000FF"/>
        <rFont val="Bosch Office Sans"/>
      </rPr>
      <t xml:space="preserve"> 1000ms</t>
    </r>
    <r xmlns="http://schemas.openxmlformats.org/spreadsheetml/2006/main">
      <rPr>
        <sz val="11"/>
        <color rgb="FF0000FF"/>
        <rFont val="Bosch Office Sans"/>
        <family val="2"/>
      </rPr>
      <t xml:space="preserve"> and cycle from first step.
e.g 3:
dbc_perodicSetSignal 1;EngSpd </t>
    </r>
    <r xmlns="http://schemas.openxmlformats.org/spreadsheetml/2006/main">
      <rPr>
        <b/>
        <sz val="11"/>
        <color rgb="FF0000FF"/>
        <rFont val="Bosch Office Sans"/>
      </rPr>
      <t>0 1000 2000 3000</t>
    </r>
    <r xmlns="http://schemas.openxmlformats.org/spreadsheetml/2006/main">
      <rPr>
        <sz val="11"/>
        <color rgb="FF0000FF"/>
        <rFont val="Bosch Office Sans"/>
        <family val="2"/>
      </rPr>
      <t xml:space="preserve">;VehicleSpd </t>
    </r>
    <r xmlns="http://schemas.openxmlformats.org/spreadsheetml/2006/main">
      <rPr>
        <b/>
        <sz val="11"/>
        <color rgb="FF0000FF"/>
        <rFont val="Bosch Office Sans"/>
      </rPr>
      <t>0 40</t>
    </r>
    <r xmlns="http://schemas.openxmlformats.org/spreadsheetml/2006/main">
      <rPr>
        <sz val="11"/>
        <color rgb="FF0000FF"/>
        <rFont val="Bosch Office Sans"/>
        <family val="2"/>
      </rPr>
      <t xml:space="preserve"> ;500
        description: 
        This is to periodic set speedo and tacho pointer value
       Process:
       First, ATS set signal EngSpd to 0 , then set signal VehicleSpd to 0
       Second, delay 500ms
       Third,  ATS set signal EngSpd to 1000 , then set signal VehicleSpd to 40
       Fourth, delay 500ms.
      Fifth, ATS set signal EngSpd to 2000 , then set signal VehicleSpd to </t>
    </r>
    <r xmlns="http://schemas.openxmlformats.org/spreadsheetml/2006/main">
      <rPr>
        <b/>
        <sz val="11"/>
        <color rgb="FF0000FF"/>
        <rFont val="Bosch Office Sans"/>
      </rPr>
      <t xml:space="preserve">40 (hold previous value)
      </t>
    </r>
    <r xmlns="http://schemas.openxmlformats.org/spreadsheetml/2006/main">
      <rPr>
        <sz val="11"/>
        <color rgb="FF0000FF"/>
        <rFont val="Bosch Office Sans"/>
      </rPr>
      <t>Sixth,Fourth, delay 500ms.</t>
    </r>
    <r xmlns="http://schemas.openxmlformats.org/spreadsheetml/2006/main">
      <rPr>
        <sz val="11"/>
        <color rgb="FF0000FF"/>
        <rFont val="Bosch Office Sans"/>
        <family val="2"/>
      </rPr>
      <t xml:space="preserve">
      Seventh, ATS set signal EngSpd to 3000 , then set signal VehicleSpd to 40 (hold previous value)
      Eighth,delay 500ms and cycle from first step.
e.g 4:
dbc_perodicSetSignal </t>
    </r>
    <r xmlns="http://schemas.openxmlformats.org/spreadsheetml/2006/main">
      <rPr>
        <b/>
        <sz val="16"/>
        <color rgb="FF0000FF"/>
        <rFont val="Bosch Office Sans"/>
      </rPr>
      <t>1</t>
    </r>
    <r xmlns="http://schemas.openxmlformats.org/spreadsheetml/2006/main">
      <rPr>
        <sz val="11"/>
        <color rgb="FF0000FF"/>
        <rFont val="Bosch Office Sans"/>
        <family val="2"/>
      </rPr>
      <t xml:space="preserve">; LeftTurnLampSts_BCM1 1 0 #10; RightTurnLampSts_BCM1 1 0;500
dbc_perodicSetSignal </t>
    </r>
    <r xmlns="http://schemas.openxmlformats.org/spreadsheetml/2006/main">
      <rPr>
        <b/>
        <sz val="18"/>
        <color rgb="FF0000FF"/>
        <rFont val="Bosch Office Sans"/>
      </rPr>
      <t>1</t>
    </r>
    <r xmlns="http://schemas.openxmlformats.org/spreadsheetml/2006/main">
      <rPr>
        <sz val="11"/>
        <color rgb="FF0000FF"/>
        <rFont val="Bosch Office Sans"/>
        <family val="2"/>
      </rPr>
      <t xml:space="preserve">;EngSpd 0 1000 2000 3000 ;500
dbc_perodicSetSignal </t>
    </r>
    <r xmlns="http://schemas.openxmlformats.org/spreadsheetml/2006/main">
      <rPr>
        <b/>
        <sz val="16"/>
        <color rgb="FF0000FF"/>
        <rFont val="Bosch Office Sans"/>
      </rPr>
      <t>3</t>
    </r>
    <r xmlns="http://schemas.openxmlformats.org/spreadsheetml/2006/main">
      <rPr>
        <sz val="11"/>
        <color rgb="FF0000FF"/>
        <rFont val="Bosch Office Sans"/>
        <family val="2"/>
      </rPr>
      <t>;VehicleSpd 0 40 ;500
Because two command have the same group value 1, the second command will be ignore by ATS</t>
    </r>
  </si>
  <si>
    <t>dbc_stopPerodicSetSignal</t>
  </si>
  <si>
    <t>&lt;Group&gt;</t>
  </si>
  <si>
    <t xml:space="preserve">Stop to periodic setting signal value
&lt;Group&gt; The signal list group value</t>
  </si>
  <si>
    <r xmlns="http://schemas.openxmlformats.org/spreadsheetml/2006/main">
      <t>dbc_stopPerodicSetSignal 1  -- 〉stop group 1
dbc_perodicSetSignal 1; LeftTurnLampSts_BCM1 1 0; RightTurnLampSts_BCM1 1 0;500 1000</t>
    </r>
    <r xmlns="http://schemas.openxmlformats.org/spreadsheetml/2006/main">
      <rPr>
        <sz val="11"/>
        <color rgb="FFFF0000"/>
        <rFont val="Bosch Office Sans"/>
      </rPr>
      <t xml:space="preserve">  -&gt; restart group 1 again</t>
    </r>
  </si>
  <si>
    <t>dbc_restartPerodicSetSignal</t>
  </si>
  <si>
    <t xml:space="preserve">Restart  periodic setting signal value seting according group value</t>
  </si>
  <si>
    <t>dbc_restartPerodicSetSignal 5</t>
  </si>
  <si>
    <t>dbc_stopAllPerodicSetSignal</t>
  </si>
  <si>
    <t>N/A</t>
  </si>
  <si>
    <t>Stop all periodic setting signal value seting</t>
  </si>
  <si>
    <t>dbc_startAllPerodicSetSignal</t>
  </si>
  <si>
    <t>Start all periodic setting signal value seting</t>
  </si>
  <si>
    <t>testbox</t>
  </si>
  <si>
    <t>&lt;status| in_register_name&gt;[return_register_name]</t>
  </si>
  <si>
    <t>&lt;value&gt;[string]</t>
  </si>
  <si>
    <r xmlns="http://schemas.openxmlformats.org/spreadsheetml/2006/main">
      <t xml:space="preserve">Control test box power status,the valid value is from 0 to 3
trueth table:
</t>
    </r>
    <r xmlns="http://schemas.openxmlformats.org/spreadsheetml/2006/main">
      <rPr>
        <b/>
        <sz val="11"/>
        <color theme="1"/>
        <rFont val="Bosch Office Sans"/>
      </rPr>
      <t xml:space="preserve">&lt;status&gt;            BAT    ACC    IG
       0     ----&gt;      OFF    OFF    OFF
       1     ----&gt;      ON      OFF    OFF
       2     ----&gt;      ON      ON      OFF
       3     ----&gt;       ON      ON      ON
</t>
    </r>
    <r xmlns="http://schemas.openxmlformats.org/spreadsheetml/2006/main">
      <rPr>
        <sz val="11"/>
        <color theme="1"/>
        <rFont val="Bosch Office Sans"/>
      </rPr>
      <t xml:space="preserve">
[return_register_name] optional parameter, indicate set power supply success(0) or fail(-1)</t>
    </r>
  </si>
  <si>
    <t xml:space="preserve">box_power 0 
box_power 1 Result1</t>
  </si>
  <si>
    <t>&lt;channel| in_register_name&gt;&lt;onoff | in_register_name&gt;&lt;level | in_register_name&gt;[return_register_name]</t>
  </si>
  <si>
    <t>&lt;value&gt;&lt;value&gt;&lt;value&gt;[string]</t>
  </si>
  <si>
    <t xml:space="preserve">Set testbox I/O output state (GND,VCC,High-resistance)
1,&lt;channel&gt; I/O port index,valid value is from 1 to 16
2,&lt;onoff&gt; Switch I/O state, valid value is 0 and 1
3,&lt;level&gt; Config I/O state:
                  0 -&gt; GND and High-resistance
                  1 -&gt; VCC and High-resistance
                  2 -&gt; GND and VCC
4,[return_register_name]optional parameter, indicate set I/O success(0) or fail(-1)
</t>
  </si>
  <si>
    <t xml:space="preserve">box_switchSignal 1 0 0  -&gt; Set I/O  channel 1 out put GND
box_switchSignal 1 1 0  -&gt; Set I/O  channel 1 out put High-resistance
box_switchSignal 3 0 2  -&gt; Set I/O  channel 3 out put GND
box_switchSignal 3 1 2  -&gt; Set I/O  channel 3 out put VCC
</t>
  </si>
  <si>
    <t>&lt;channel| in_register_name&gt;&lt;resistance| in_register_name&gt;[return_register_name]</t>
  </si>
  <si>
    <t>&lt;value&gt;&lt;value&gt;[string]</t>
  </si>
  <si>
    <r xmlns="http://schemas.openxmlformats.org/spreadsheetml/2006/main">
      <t xml:space="preserve">Set test box resistance output :
1,&lt;channel&gt; valid value is from 1 to 4
2,&lt;resistance&gt; valid value is from 0 to 0x7FFFF     
3,[return_register_name] optional parameter, indicate set resistance success(0) or fail(-1)
</t>
    </r>
    <r xmlns="http://schemas.openxmlformats.org/spreadsheetml/2006/main">
      <rPr>
        <sz val="11"/>
        <color rgb="FFFF0000"/>
        <rFont val="Bosch Office Sans"/>
      </rPr>
      <t>Note: Resistance resolution is 1</t>
    </r>
    <r xmlns="http://schemas.openxmlformats.org/spreadsheetml/2006/main">
      <rPr>
        <sz val="11"/>
        <color rgb="FFFF0000"/>
        <rFont val="微软雅黑"/>
        <family val="2"/>
        <charset val="134"/>
      </rPr>
      <t>Ω</t>
    </r>
  </si>
  <si>
    <r xmlns="http://schemas.openxmlformats.org/spreadsheetml/2006/main">
      <t>box_resistance 1 1000 -&gt; set channel 1 resistance 1000</t>
    </r>
    <r xmlns="http://schemas.openxmlformats.org/spreadsheetml/2006/main">
      <rPr>
        <sz val="11"/>
        <color theme="1"/>
        <rFont val="微软雅黑"/>
        <family val="2"/>
        <charset val="134"/>
      </rPr>
      <t>Ω</t>
    </r>
    <r xmlns="http://schemas.openxmlformats.org/spreadsheetml/2006/main">
      <rPr>
        <sz val="11"/>
        <color theme="1"/>
        <rFont val="Bosch Office Sans"/>
      </rPr>
      <t xml:space="preserve">
box_resistance 1 1000 Result1
</t>
    </r>
  </si>
  <si>
    <t>scpi_connect</t>
  </si>
  <si>
    <t>SCPI</t>
  </si>
  <si>
    <t xml:space="preserve">&lt;interface_type&gt; &lt;connect_string | in_register_name&gt; &lt;port_handle_register_name&gt; </t>
  </si>
  <si>
    <t>&lt;value&gt; &lt;string&gt; [register]</t>
  </si>
  <si>
    <r xmlns="http://schemas.openxmlformats.org/spreadsheetml/2006/main">
      <t>Connect programmable instrument(Powersupply,DDM etc.) using connect string
1, &lt;interface_type&gt;communication hardware type,valid value is from 1 to 4:
        1: RS232 port
        2: USB port
        3: LAN port</t>
    </r>
    <r xmlns="http://schemas.openxmlformats.org/spreadsheetml/2006/main">
      <rPr>
        <sz val="11"/>
        <color rgb="FFFF0000"/>
        <rFont val="Bosch Office Sans"/>
      </rPr>
      <t xml:space="preserve"> (reserved)</t>
    </r>
    <r xmlns="http://schemas.openxmlformats.org/spreadsheetml/2006/main">
      <rPr>
        <sz val="11"/>
        <color theme="1"/>
        <rFont val="Bosch Office Sans"/>
        <family val="2"/>
      </rPr>
      <t xml:space="preserve">
        4: GPIB port </t>
    </r>
    <r xmlns="http://schemas.openxmlformats.org/spreadsheetml/2006/main">
      <rPr>
        <sz val="11"/>
        <color rgb="FFFF0000"/>
        <rFont val="Bosch Office Sans"/>
      </rPr>
      <t>(reserved)</t>
    </r>
    <r xmlns="http://schemas.openxmlformats.org/spreadsheetml/2006/main">
      <rPr>
        <sz val="11"/>
        <color theme="1"/>
        <rFont val="Bosch Office Sans"/>
        <family val="2"/>
      </rPr>
      <t xml:space="preserve">
2,&lt;connect_string&gt; string for open port to connect to instrument
        if&lt;interface_type&gt; = 1, &lt;connect_string&gt;="portname,baudrate,databits,parity,stopbits"
        if&lt;interface_type&gt; = 2, &lt;connect_string&gt;=USB resouce name </t>
    </r>
    <r xmlns="http://schemas.openxmlformats.org/spreadsheetml/2006/main">
      <rPr>
        <sz val="11"/>
        <color rgb="FFFF0000"/>
        <rFont val="Bosch Office Sans"/>
      </rPr>
      <t>(need NI VISA driver)</t>
    </r>
    <r xmlns="http://schemas.openxmlformats.org/spreadsheetml/2006/main">
      <rPr>
        <sz val="11"/>
        <color theme="1"/>
        <rFont val="Bosch Office Sans"/>
        <family val="2"/>
      </rPr>
      <t xml:space="preserve">
        if&lt;interface_type&gt; = 3, &lt;connect_string&gt;= IP address  </t>
    </r>
    <r xmlns="http://schemas.openxmlformats.org/spreadsheetml/2006/main">
      <rPr>
        <sz val="11"/>
        <color rgb="FFFF0000"/>
        <rFont val="Bosch Office Sans"/>
      </rPr>
      <t xml:space="preserve"> (need NI VISA driver)</t>
    </r>
    <r xmlns="http://schemas.openxmlformats.org/spreadsheetml/2006/main">
      <rPr>
        <sz val="11"/>
        <color theme="1"/>
        <rFont val="Bosch Office Sans"/>
        <family val="2"/>
      </rPr>
      <t xml:space="preserve">
        if&lt;interface_type&gt; = 4, &lt;connect_string&gt;=GPIB address  </t>
    </r>
    <r xmlns="http://schemas.openxmlformats.org/spreadsheetml/2006/main">
      <rPr>
        <sz val="11"/>
        <color rgb="FFFF0000"/>
        <rFont val="Bosch Office Sans"/>
      </rPr>
      <t>(need NI VISA driver)</t>
    </r>
    <r xmlns="http://schemas.openxmlformats.org/spreadsheetml/2006/main">
      <rPr>
        <sz val="11"/>
        <color theme="1"/>
        <rFont val="Bosch Office Sans"/>
        <family val="2"/>
      </rPr>
      <t xml:space="preserve">
3,&lt;port_handle_register_name_register_name&gt; store port handle that already connected, if &lt;0 means connect failed
</t>
    </r>
    <r xmlns="http://schemas.openxmlformats.org/spreadsheetml/2006/main">
      <rPr>
        <b/>
        <sz val="11"/>
        <color rgb="FFFF0000"/>
        <rFont val="Bosch Office Sans"/>
      </rPr>
      <t>Note: the max  8 RS232 and 8 USB programmable instrument  can be connected at the same time</t>
    </r>
    <r xmlns="http://schemas.openxmlformats.org/spreadsheetml/2006/main">
      <rPr>
        <sz val="11"/>
        <color theme="1"/>
        <rFont val="Bosch Office Sans"/>
        <family val="2"/>
      </rPr>
      <t xml:space="preserve">
      </t>
    </r>
  </si>
  <si>
    <t xml:space="preserve">DECL_REG regRS232Handle
scpi_connect 1 "COM15,9600,8,NONE,1" regRS232Handle
check_throwErrMsg regRS232Handle 0 0 "Error code is : %d" regRS232Handle
DECL_REG regUSBHandle
scpi_connect 2 "USB0::0x1AB1::0x0E11::DP8B194201143::INSTR" regUSBHandle  -&gt;USB connect
</t>
  </si>
  <si>
    <t>scpi_sendCmd</t>
  </si>
  <si>
    <t>&lt;port_handle_register_name&gt; &lt;scpi_command_string | in_register_name&gt; [return_register_name]</t>
  </si>
  <si>
    <t>&lt;register&gt;&lt;string&gt; [register]</t>
  </si>
  <si>
    <t xml:space="preserve">Send SCPI command to programmable instrument to appointed hardware interface
1,port_handle_register_name_register_name&gt; store port handle that already connected,valid value is from 0 to 7 (store in register already)</t>
  </si>
  <si>
    <r xmlns="http://schemas.openxmlformats.org/spreadsheetml/2006/main">
      <rPr>
        <b/>
        <sz val="11"/>
        <color rgb="FFFF0000"/>
        <rFont val="Bosch Office Sans"/>
      </rPr>
      <t>Below actions can be used at the same time</t>
    </r>
    <r xmlns="http://schemas.openxmlformats.org/spreadsheetml/2006/main">
      <rPr>
        <sz val="11"/>
        <color theme="1"/>
        <rFont val="Bosch Office Sans"/>
        <family val="2"/>
      </rPr>
      <t xml:space="preserve">
DECL_REG regRS232Handle_COM9
scpi_connect 1 "COM9,9600,8,NONE,1" regRS232Handle_COM9
check_throwErrMsg regRS232Handle_COM9 0 0 "Error code is : %d" regRS232Handle_COM9
scpi_sendCmd  regRS232Handle_COM9 "*IDN?"  -&gt;Query programmable instrument ID that connect to COM9
DECL_REG regRS232Handle_COM15
scpi_connect 1 "COM15,9600,8,NONE,1" regRS232Handle_COM15
check_throwErrMsg regRS232Handle_COM15 0 0 "Error code is : %d" regRS232Handle_COM15
scpi_sendCmd  regRS232Handle_COM15 "</t>
    </r>
    <r xmlns="http://schemas.openxmlformats.org/spreadsheetml/2006/main">
      <rPr>
        <b/>
        <sz val="11"/>
        <color rgb="FF0000FF"/>
        <rFont val="Bosch Office Sans"/>
      </rPr>
      <t>*IDN?</t>
    </r>
    <r xmlns="http://schemas.openxmlformats.org/spreadsheetml/2006/main">
      <rPr>
        <sz val="11"/>
        <color theme="1"/>
        <rFont val="Bosch Office Sans"/>
        <family val="2"/>
      </rPr>
      <t xml:space="preserve">"  -&gt;Query programmable instrument ID that connect to COM15
DECL_REG regUSBHandle
scpi_connect 2 "USB0::0x1AB1::0x0E11::DP8B194201143::INSTR" regUSBHandle
check_throwErrMsg regUSBHandle 0 0 "Error code is : %d" regUSBHandle
scpi_sendCmd  regUSBHandle "*IDN?"  -&gt;Query programmable instrument ID that connect to USB
</t>
    </r>
  </si>
  <si>
    <t>scpi_recvCmd</t>
  </si>
  <si>
    <t>&lt;port_handle_register_name&gt; &lt;out_register_name&gt;</t>
  </si>
  <si>
    <t>&lt;register&gt;&lt;register&gt;</t>
  </si>
  <si>
    <t xml:space="preserve">Receive string from programmable instrument
1,port_handle_register_name_register_name&gt; store port handle that already connected,valid value is from 0 to 7 (store in register already)</t>
  </si>
  <si>
    <r xmlns="http://schemas.openxmlformats.org/spreadsheetml/2006/main">
      <rPr>
        <sz val="11"/>
        <color rgb="FFFF0000"/>
        <rFont val="Bosch Office Sans"/>
      </rPr>
      <t>Below actions can be used at the same time</t>
    </r>
    <r xmlns="http://schemas.openxmlformats.org/spreadsheetml/2006/main">
      <rPr>
        <sz val="11"/>
        <color theme="1"/>
        <rFont val="Bosch Office Sans"/>
        <family val="2"/>
      </rPr>
      <t xml:space="preserve">
DECL_REG regRS232Handle_COM9
scpi_connect 1 "COM9,9600,8,NONE,1" regRS232Handle_COM9
check_throwErrMsg regRS232Handle_COM9 0 0 "Error code is : %d" regRS232Handle_COM9
scpi_sendCmd  regRS232Handle_COM9 "*IDN?"  
cpi_recvCmd regUSBHandle Result1 -&gt; Result1 store  programmable instrument ID, like "Agilent 34401"
DECL_REG regRS232Handle_COM15
scpi_connect 1 "COM15,9600,8,NONE,1" regRS232Handle_COM15
check_throwErrMsg regRS232Handle_COM15 0 0 "Error code is : %d" regRS232Handle_COM15
scpi_sendCmd  regRS232Handle_COM15 "*IDN?"  
cpi_recvCmd regUSBHandle Result1 -&gt; Result1 store  programmable instrument ID, like "Agilent 34401"
DECL_REG regUSBHandle
scpi_connect 2 "USB0::0x1AB1::0x0E11::DP8B194201143::INSTR" regUSBHandle
check_throwErrMsg regUSBHandle 0 0 "Error code is : %d" regUSBHandle
scpi_sendCmd  regUSBHandle "*IDN?"  
scpi_recvCmd regUSBHandle Result1 -&gt; Result1 store  programmable instrument ID, like "Agilent 34401"</t>
    </r>
  </si>
  <si>
    <t>scpi_sendRecv</t>
  </si>
  <si>
    <t>&lt;port_handle_register_name&gt; &lt;scpi_command_string | in_register_name&gt; &lt;receive_register_name&gt; [return_register_name]</t>
  </si>
  <si>
    <t>&lt;register&gt;&lt;string&gt;&lt;register&gt;[register]</t>
  </si>
  <si>
    <t xml:space="preserve">Send SCPI command to programmable instrument and receive feedback from appointed hardware interface
1,port_handle_register_name_register_name&gt; store port handle that already connected,valid value is from 0 to 7 (store in register already)
2,&lt;scpi_command_string&gt; SCPI command
3,(receive_register_name&gt; store feedback string from programmable instrument
[return_register_name] optional parameter, indicate operate success(0) or fail(&lt;0)</t>
  </si>
  <si>
    <t xml:space="preserve">DECL_REG regRS232Handle_COM15
scpi_connect 1 "COM15,9600,8,NONE,1" regRS232Handle_COM15
check_throwErrMsg regRS232Handle_COM15 0 0 "Error code is : %d" regRS232Handle_COM15
scpi_sendRecv  regRS232Handle_COM15 "*IDN?"  Result1-&gt; Result1 store  programmable instrument ID, like "Agilent 34401"</t>
  </si>
  <si>
    <t>CanEx</t>
  </si>
  <si>
    <r xmlns="http://schemas.openxmlformats.org/spreadsheetml/2006/main">
      <t>&lt;TxID&gt;</t>
    </r>
    <r xmlns="http://schemas.openxmlformats.org/spreadsheetml/2006/main">
      <rPr>
        <sz val="11"/>
        <color rgb="FF0000FF"/>
        <rFont val="Calibri"/>
        <family val="2"/>
        <scheme val="minor"/>
      </rPr>
      <t xml:space="preserve"> [result_reg]</t>
    </r>
  </si>
  <si>
    <t>&lt;value | hex string | register&gt;</t>
  </si>
  <si>
    <r xmlns="http://schemas.openxmlformats.org/spreadsheetml/2006/main">
      <t xml:space="preserve">1,&lt;TxID&gt; Data requester ID, could be as below:
   -One number like 1607     -&gt; (1607=0x647)
   -One number like 0x647
 </t>
    </r>
    <r xmlns="http://schemas.openxmlformats.org/spreadsheetml/2006/main">
      <rPr>
        <strike/>
        <sz val="11"/>
        <color rgb="FFFF0000"/>
        <rFont val="Bosch Office Sans"/>
      </rPr>
      <t xml:space="preserve">  -One hex string like "647"
</t>
    </r>
    <r xmlns="http://schemas.openxmlformats.org/spreadsheetml/2006/main">
      <rPr>
        <sz val="11"/>
        <rFont val="Bosch Office Sans"/>
      </rPr>
      <t xml:space="preserve">   -One hex string like "0x647"</t>
    </r>
    <r xmlns="http://schemas.openxmlformats.org/spreadsheetml/2006/main">
      <rPr>
        <sz val="11"/>
        <color theme="1"/>
        <rFont val="Bosch Office Sans"/>
        <family val="2"/>
      </rPr>
      <t xml:space="preserve">
   -One register of data requster ID.</t>
    </r>
  </si>
  <si>
    <t>canEx_setCanDataTxID "0x647"</t>
  </si>
  <si>
    <r xmlns="http://schemas.openxmlformats.org/spreadsheetml/2006/main">
      <t>&lt;RxID&gt;</t>
    </r>
    <r xmlns="http://schemas.openxmlformats.org/spreadsheetml/2006/main">
      <rPr>
        <sz val="11"/>
        <color rgb="FF0000FF"/>
        <rFont val="Calibri"/>
        <family val="2"/>
        <scheme val="minor"/>
      </rPr>
      <t xml:space="preserve"> [result_reg]</t>
    </r>
  </si>
  <si>
    <r xmlns="http://schemas.openxmlformats.org/spreadsheetml/2006/main">
      <t xml:space="preserve">1,&lt;RxID&gt; Data receiver ID, could be as below:
   -One number like 1607     -&gt; (1607=0x647)
   -One number like 0x647
</t>
    </r>
    <r xmlns="http://schemas.openxmlformats.org/spreadsheetml/2006/main">
      <rPr>
        <sz val="11"/>
        <color rgb="FFFF0000"/>
        <rFont val="Bosch Office Sans"/>
      </rPr>
      <t xml:space="preserve">  </t>
    </r>
    <r xmlns="http://schemas.openxmlformats.org/spreadsheetml/2006/main">
      <rPr>
        <strike/>
        <sz val="11"/>
        <color rgb="FFFF0000"/>
        <rFont val="Bosch Office Sans"/>
      </rPr>
      <t xml:space="preserve"> -One hex string like "647"</t>
    </r>
    <r xmlns="http://schemas.openxmlformats.org/spreadsheetml/2006/main">
      <rPr>
        <sz val="11"/>
        <color theme="1"/>
        <rFont val="Bosch Office Sans"/>
        <family val="2"/>
      </rPr>
      <t xml:space="preserve">
</t>
    </r>
    <r xmlns="http://schemas.openxmlformats.org/spreadsheetml/2006/main">
      <rPr>
        <sz val="11"/>
        <rFont val="Bosch Office Sans"/>
      </rPr>
      <t xml:space="preserve">   -One hex string like "0x647"</t>
    </r>
    <r xmlns="http://schemas.openxmlformats.org/spreadsheetml/2006/main">
      <rPr>
        <sz val="11"/>
        <color theme="1"/>
        <rFont val="Bosch Office Sans"/>
        <family val="2"/>
      </rPr>
      <t xml:space="preserve">
   -One register of data receiver ID.</t>
    </r>
  </si>
  <si>
    <t>canEx_setCanDataRxID 0x657</t>
  </si>
  <si>
    <t>&lt;flow control frame&gt;</t>
  </si>
  <si>
    <t>&lt;string | register&gt;</t>
  </si>
  <si>
    <t xml:space="preserve">1,&lt;flow control frame&gt; flow control frame string, it must has 8 bytes.
   -One string like "30 08 14 00 00 00 00 00"
    -One string like "3008140000000000"
   -One register of  flow control frame.</t>
  </si>
  <si>
    <t>canEx_setFlowCtlFrame "30 08 14 00 00 00 00 00"</t>
  </si>
  <si>
    <t>canEx_setUsedCanMode</t>
  </si>
  <si>
    <t>&lt;CanMode&gt;</t>
  </si>
  <si>
    <r xmlns="http://schemas.openxmlformats.org/spreadsheetml/2006/main">
      <t xml:space="preserve">1,&lt;CanMode&gt; it </t>
    </r>
    <r xmlns="http://schemas.openxmlformats.org/spreadsheetml/2006/main">
      <rPr>
        <sz val="11"/>
        <color rgb="FFFF0000"/>
        <rFont val="Bosch Office Sans"/>
      </rPr>
      <t>must</t>
    </r>
    <r xmlns="http://schemas.openxmlformats.org/spreadsheetml/2006/main">
      <rPr>
        <sz val="11"/>
        <color theme="1"/>
        <rFont val="Bosch Office Sans"/>
        <family val="2"/>
      </rPr>
      <t xml:space="preserve"> be 0(normal mode) or 1(extended mode).
</t>
    </r>
    <r xmlns="http://schemas.openxmlformats.org/spreadsheetml/2006/main">
      <rPr>
        <strike/>
        <sz val="11"/>
        <color rgb="FFFF0000"/>
        <rFont val="Bosch Office Sans"/>
      </rPr>
      <t xml:space="preserve">   -One string like "0"</t>
    </r>
    <r xmlns="http://schemas.openxmlformats.org/spreadsheetml/2006/main">
      <rPr>
        <sz val="11"/>
        <color theme="1"/>
        <rFont val="Bosch Office Sans"/>
        <family val="2"/>
      </rPr>
      <t xml:space="preserve">
   -One number like 1
   -One register of CanMode.</t>
    </r>
  </si>
  <si>
    <t>canEx_setUsedCanMode 0</t>
  </si>
  <si>
    <t>canEx_setExtenedTxNodeID</t>
  </si>
  <si>
    <t>&lt;TxNodeID&gt;</t>
  </si>
  <si>
    <r xmlns="http://schemas.openxmlformats.org/spreadsheetml/2006/main">
      <t xml:space="preserve">1,&lt;TxNodeID&gt; Data requester Node ID, could be as below:
   -One number like 241(241=0xF1)
   -One number like 0xF1
   </t>
    </r>
    <r xmlns="http://schemas.openxmlformats.org/spreadsheetml/2006/main">
      <rPr>
        <strike/>
        <sz val="11"/>
        <color rgb="FFFF0000"/>
        <rFont val="Bosch Office Sans"/>
      </rPr>
      <t>-One hex string like "F1"</t>
    </r>
    <r xmlns="http://schemas.openxmlformats.org/spreadsheetml/2006/main">
      <rPr>
        <sz val="11"/>
        <color theme="1"/>
        <rFont val="Bosch Office Sans"/>
        <family val="2"/>
      </rPr>
      <t xml:space="preserve">
   -One hex string like "0xF1"
   -One register of data requster Node ID.</t>
    </r>
  </si>
  <si>
    <t>canEx_setExtenedTxNodeID "F1"</t>
  </si>
  <si>
    <t>canEx_sendCanData</t>
  </si>
  <si>
    <r xmlns="http://schemas.openxmlformats.org/spreadsheetml/2006/main">
      <t>&lt;data&gt;  [time_ms]</t>
    </r>
    <r xmlns="http://schemas.openxmlformats.org/spreadsheetml/2006/main">
      <rPr>
        <sz val="11"/>
        <color rgb="FF0000FF"/>
        <rFont val="Calibri"/>
        <family val="2"/>
        <scheme val="minor"/>
      </rPr>
      <t xml:space="preserve"> [return_register]</t>
    </r>
  </si>
  <si>
    <t>&lt;Dec string | register&gt; [value | string | register]</t>
  </si>
  <si>
    <r xmlns="http://schemas.openxmlformats.org/spreadsheetml/2006/main">
      <t xml:space="preserve">1,&lt;data&gt; Data to be sent, could be as below:
   -One hex string like "1001"
   -One register of data to be sent.
2.[time_ms] the time delay between multi frames, it is optional.
  </t>
    </r>
    <r xmlns="http://schemas.openxmlformats.org/spreadsheetml/2006/main">
      <rPr>
        <strike/>
        <sz val="11"/>
        <color rgb="FFFF0000"/>
        <rFont val="Bosch Office Sans"/>
      </rPr>
      <t xml:space="preserve"> -One decimal string like "1E"      ---&gt;(0x1E=30)</t>
    </r>
    <r xmlns="http://schemas.openxmlformats.org/spreadsheetml/2006/main">
      <rPr>
        <sz val="11"/>
        <color theme="1"/>
        <rFont val="Bosch Office Sans"/>
        <family val="2"/>
      </rPr>
      <t xml:space="preserve">
   -One decimal string like "0x1E"  ---&gt;(0x1E=30)
   -One number like 30
   -One register of time_ms.</t>
    </r>
  </si>
  <si>
    <t>canEx_sendCanData "10 01"</t>
  </si>
  <si>
    <t>canEx_receiveCanData</t>
  </si>
  <si>
    <r xmlns="http://schemas.openxmlformats.org/spreadsheetml/2006/main">
      <rPr>
        <sz val="11"/>
        <color rgb="FFFF0000"/>
        <rFont val="Calibri"/>
        <family val="2"/>
        <scheme val="minor"/>
      </rPr>
      <t>&lt;filter&gt;</t>
    </r>
    <r xmlns="http://schemas.openxmlformats.org/spreadsheetml/2006/main">
      <rPr>
        <sz val="11"/>
        <color theme="1"/>
        <rFont val="Calibri"/>
        <family val="2"/>
        <scheme val="minor"/>
      </rPr>
      <t xml:space="preserve"> &lt;out_register_name&gt; </t>
    </r>
    <r xmlns="http://schemas.openxmlformats.org/spreadsheetml/2006/main">
      <rPr>
        <sz val="11"/>
        <color rgb="FF0000FF"/>
        <rFont val="Calibri"/>
        <family val="2"/>
        <scheme val="minor"/>
      </rPr>
      <t>[split_by_space_flag]</t>
    </r>
    <r xmlns="http://schemas.openxmlformats.org/spreadsheetml/2006/main">
      <rPr>
        <sz val="11"/>
        <color theme="1"/>
        <rFont val="Calibri"/>
        <family val="2"/>
        <scheme val="minor"/>
      </rPr>
      <t xml:space="preserve"> [timeout_ms] </t>
    </r>
  </si>
  <si>
    <t>&lt;hex string | register&gt; &lt;register&gt; [hex string | value |register]</t>
  </si>
  <si>
    <r xmlns="http://schemas.openxmlformats.org/spreadsheetml/2006/main">
      <t>1.</t>
    </r>
    <r xmlns="http://schemas.openxmlformats.org/spreadsheetml/2006/main">
      <rPr>
        <sz val="11"/>
        <color rgb="FFFF0000"/>
        <rFont val="Bosch Office Sans"/>
      </rPr>
      <t>&lt;filter&gt;</t>
    </r>
    <r xmlns="http://schemas.openxmlformats.org/spreadsheetml/2006/main">
      <rPr>
        <sz val="11"/>
        <color theme="1"/>
        <rFont val="Bosch Office Sans"/>
        <family val="2"/>
      </rPr>
      <t xml:space="preserve"> the check flag the response string, it could be blank.
   -One hex string like "5001"
   -blank as ""
   -One register of flag
2.&lt;out_register_name&gt; it is one register to store the returned content.
3，[split_by_space_flag] indicate if split received data by space, valid value is 0 and 1
          0: not split (default value)
          1: split
4.&lt;timeout_ms&gt; the max time of receiving the can data.
 </t>
    </r>
    <r xmlns="http://schemas.openxmlformats.org/spreadsheetml/2006/main">
      <rPr>
        <strike/>
        <sz val="11"/>
        <color rgb="FFFF0000"/>
        <rFont val="Bosch Office Sans"/>
      </rPr>
      <t xml:space="preserve">   -One decimal string like "12C"       ---&gt;(0x12C=300)</t>
    </r>
    <r xmlns="http://schemas.openxmlformats.org/spreadsheetml/2006/main">
      <rPr>
        <sz val="11"/>
        <color theme="1"/>
        <rFont val="Bosch Office Sans"/>
        <family val="2"/>
      </rPr>
      <t xml:space="preserve">
</t>
    </r>
    <r xmlns="http://schemas.openxmlformats.org/spreadsheetml/2006/main">
      <rPr>
        <strike/>
        <sz val="11"/>
        <color rgb="FFFF0000"/>
        <rFont val="Bosch Office Sans"/>
      </rPr>
      <t xml:space="preserve">    -One decimal string like "0x12C"</t>
    </r>
    <r xmlns="http://schemas.openxmlformats.org/spreadsheetml/2006/main">
      <rPr>
        <sz val="11"/>
        <color theme="1"/>
        <rFont val="Bosch Office Sans"/>
        <family val="2"/>
      </rPr>
      <t xml:space="preserve">
    -One number like 300
    -One register of timeout_ms.
</t>
    </r>
  </si>
  <si>
    <r xmlns="http://schemas.openxmlformats.org/spreadsheetml/2006/main">
      <t xml:space="preserve">canEx_receiveCanData "" ReceivedData
</t>
    </r>
    <r xmlns="http://schemas.openxmlformats.org/spreadsheetml/2006/main">
      <rPr>
        <strike/>
        <sz val="11"/>
        <color rgb="FFFF0000"/>
        <rFont val="Bosch Office Sans"/>
      </rPr>
      <t>canEx_receiveCanData "" ReceivedData "3E8"
canEx_receiveCanData "" ReceivedData "0x3E8"</t>
    </r>
    <r xmlns="http://schemas.openxmlformats.org/spreadsheetml/2006/main">
      <rPr>
        <sz val="11"/>
        <color theme="1"/>
        <rFont val="Bosch Office Sans"/>
        <family val="2"/>
      </rPr>
      <t xml:space="preserve">
canEx_receiveCanData "" ReceivedData 1000</t>
    </r>
  </si>
  <si>
    <t>&lt;string_send_data | register_name&gt; &lt;receive_register_name&gt; [flag_split_receivedata_by_Space]</t>
  </si>
  <si>
    <t>&lt;string&gt; &lt;register&gt;&lt;value&gt;</t>
  </si>
  <si>
    <r xmlns="http://schemas.openxmlformats.org/spreadsheetml/2006/main">
      <t xml:space="preserve">1,&lt;string_send_data&gt;: Can data need to be send,like"3E 00 01" or"3E0001"
2,&lt;receive_register_name&gt;:To store data that reveived from CAN bus
3,[flag__split_receivedata_by_Space]: indicate if split received data by space, valid value is 0 and 1
          0: not split (default value)
          1: split
</t>
    </r>
    <r xmlns="http://schemas.openxmlformats.org/spreadsheetml/2006/main">
      <rPr>
        <sz val="11"/>
        <color rgb="FFFF0000"/>
        <rFont val="Bosch Office Sans"/>
      </rPr>
      <t xml:space="preserve">
Note: this function not need assign a "receive filter" to tell ATS which frame is valid and which frame is invalid, it judge valid frame automaticlly, it means this function alway receive valid frame, for example, if send "10 01" to product, this function will receive CAN frame start with "50" (positive response is "50 01", or negative response like "7F 10 xx"</t>
    </r>
  </si>
  <si>
    <t xml:space="preserve">canEx_sendRecv "10 01" Result1 1  -&gt; Result1 = "50 01"</t>
  </si>
  <si>
    <t>file_openFile</t>
  </si>
  <si>
    <t>File</t>
  </si>
  <si>
    <t>&lt;mode | in_register_name&gt; &lt;file_name_string | in_register_name&gt; [return_register]</t>
  </si>
  <si>
    <t>&lt;string&gt;&lt;string&gt;[register]</t>
  </si>
  <si>
    <r xmlns="http://schemas.openxmlformats.org/spreadsheetml/2006/main">
      <t xml:space="preserve">Read or write text document
1,&lt;mode&gt; text file operation mode, valid string as follows:
      a, "r", open file to read
      b, "w", open file to write
      c, "w+", open file to write, if file not exist then create it
     </t>
    </r>
    <r xmlns="http://schemas.openxmlformats.org/spreadsheetml/2006/main">
      <rPr>
        <sz val="11"/>
        <color rgb="FFFF0000"/>
        <rFont val="Bosch Office Sans"/>
      </rPr>
      <t>Note : mode can be combine together, like "rw+", "rw","rw+w"</t>
    </r>
    <r xmlns="http://schemas.openxmlformats.org/spreadsheetml/2006/main">
      <rPr>
        <sz val="11"/>
        <color theme="1"/>
        <rFont val="Bosch Office Sans"/>
        <family val="2"/>
      </rPr>
      <t xml:space="preserve">
2,&lt;file_name_string&gt; file name with path and extension,
     </t>
    </r>
    <r xmlns="http://schemas.openxmlformats.org/spreadsheetml/2006/main">
      <rPr>
        <sz val="11"/>
        <color theme="1"/>
        <rFont val="Bosch Office Sans"/>
      </rPr>
      <t xml:space="preserve"> </t>
    </r>
    <r xmlns="http://schemas.openxmlformats.org/spreadsheetml/2006/main">
      <rPr>
        <sz val="11"/>
        <color rgb="FFFF0000"/>
        <rFont val="Bosch Office Sans"/>
      </rPr>
      <t xml:space="preserve">Note: </t>
    </r>
    <r xmlns="http://schemas.openxmlformats.org/spreadsheetml/2006/main">
      <rPr>
        <strike/>
        <sz val="11"/>
        <color rgb="FFFF0000"/>
        <rFont val="Bosch Office Sans"/>
      </rPr>
      <t xml:space="preserve">path should be contain double back slash, like "C:\\myFolder\\test.txt" </t>
    </r>
    <r xmlns="http://schemas.openxmlformats.org/spreadsheetml/2006/main">
      <rPr>
        <sz val="11"/>
        <color rgb="FFFF0000"/>
        <rFont val="Bosch Office Sans"/>
      </rPr>
      <t xml:space="preserve"> 
                double back slash or singal back slash in path is OK, but don't mixed use them at the same time</t>
    </r>
    <r xmlns="http://schemas.openxmlformats.org/spreadsheetml/2006/main">
      <rPr>
        <sz val="11"/>
        <color theme="1"/>
        <rFont val="Bosch Office Sans"/>
        <family val="2"/>
      </rPr>
      <t xml:space="preserve">
3,[return_register_name] optional parameter, indicate open file success(0) or fail(error code)</t>
    </r>
  </si>
  <si>
    <t xml:space="preserve">file_openFile "rw+" "C:\\myFolder\\test.txt" regReturn
string_cat regMode "rw"
string_cat regPath "C:\\myFolder\\test.txt"
file_openFile regMode regPath</t>
  </si>
  <si>
    <t>file_closeFile</t>
  </si>
  <si>
    <t>[return_register]</t>
  </si>
  <si>
    <t>[register]</t>
  </si>
  <si>
    <t xml:space="preserve">Close opend file
[return_register_name] optional parameter, indicate set resistance success(0) or fail(error code)</t>
  </si>
  <si>
    <t>file_closeFile regReturn</t>
  </si>
  <si>
    <t>file_readAllLines</t>
  </si>
  <si>
    <t>&lt;out_register_name&gt;</t>
  </si>
  <si>
    <t xml:space="preserve">Read all text form file that be opend already
&lt;out_register_name&gt; store read text if read succeed  or error code if read failed</t>
  </si>
  <si>
    <t xml:space="preserve">file_openFile "r" "C:\\myFolder\\test.txt" regReturn
file_readAllLines regOut</t>
  </si>
  <si>
    <t>file_readSingleLine</t>
  </si>
  <si>
    <t>&lt;int_line_number | in_register_name&gt; [place_holder_string] &lt;out_register1&gt; &lt;out_register2&gt;…</t>
  </si>
  <si>
    <t>&lt;int&gt;[string]&lt;register&gt;…</t>
  </si>
  <si>
    <r xmlns="http://schemas.openxmlformats.org/spreadsheetml/2006/main">
      <t xml:space="preserve">Read specified line text form file that already opened
1,&lt;int_line_number&gt; line index that based on 1, default is 1
2,[place_holder_string] specified read format:
       a, "%s*&lt;length&gt;" ingnore &lt;length&gt; charater
       b, "%s&lt;length&gt;" read &lt;length&gt; charaters
       c, "%d&lt;length&gt;" read &lt;length&gt; charaters and convert to intenger
       d, "%f&lt;length&gt;" read &lt;length&gt; charters and convert to float
       </t>
    </r>
    <r xmlns="http://schemas.openxmlformats.org/spreadsheetml/2006/main">
      <rPr>
        <sz val="11"/>
        <color rgb="FFFF0000"/>
        <rFont val="Bosch Office Sans"/>
      </rPr>
      <t xml:space="preserve">Note: i),placeholder can be combine together, like "%s2%s*3%d4%f3".
                 ii), &lt;lenght&gt; should be more than 0, if &lt;length&gt; = 0,then ATS will  set &lt;length&gt;=1
                 iii),placeholder can not be store in register !!
                 ix),if the sum of  placeholders' &lt;length&gt; is greater than the length of text,then max    
                      length to read is text length, detail refer to example!!!
</t>
    </r>
    <r xmlns="http://schemas.openxmlformats.org/spreadsheetml/2006/main">
      <rPr>
        <sz val="11"/>
        <color theme="1"/>
        <rFont val="Bosch Office Sans"/>
      </rPr>
      <t xml:space="preserve">3, &lt;out_register&gt; according to placeholder format storing value.
      </t>
    </r>
    <r xmlns="http://schemas.openxmlformats.org/spreadsheetml/2006/main">
      <rPr>
        <sz val="11"/>
        <color rgb="FFFF0000"/>
        <rFont val="Bosch Office Sans"/>
      </rPr>
      <t xml:space="preserve">  Note: register quantity sholuld be equal placeholder quantity (ignore %s*)</t>
    </r>
  </si>
  <si>
    <r xmlns="http://schemas.openxmlformats.org/spreadsheetml/2006/main">
      <t xml:space="preserve">Assume the thired line text is </t>
    </r>
    <r xmlns="http://schemas.openxmlformats.org/spreadsheetml/2006/main">
      <rPr>
        <b/>
        <sz val="11"/>
        <color rgb="FFFF0000"/>
        <rFont val="Bosch Office Sans"/>
      </rPr>
      <t xml:space="preserve">"this is a test 23.525 = 10" (not include double quotes) </t>
    </r>
    <r xmlns="http://schemas.openxmlformats.org/spreadsheetml/2006/main">
      <rPr>
        <sz val="11"/>
        <color theme="1"/>
        <rFont val="Bosch Office Sans"/>
        <family val="2"/>
      </rPr>
      <t xml:space="preserve">in  file test.txt
DECL_REG regFloat regString regInt regFile regReturn
string_cat regFile "C:\\myFolder\\test.txt"
file_openFile "r"  regFile regReturn
check_throwErrMsg regReturn 0 0 "Open file %s fail\nError code is %d " regFile regReturn
</t>
    </r>
    <r xmlns="http://schemas.openxmlformats.org/spreadsheetml/2006/main">
      <rPr>
        <b/>
        <sz val="11"/>
        <color theme="1"/>
        <rFont val="Bosch Office Sans"/>
      </rPr>
      <t xml:space="preserve">file_readSingleLine 3 "%s12%s*4%f5" regString regFloat </t>
    </r>
    <r xmlns="http://schemas.openxmlformats.org/spreadsheetml/2006/main">
      <rPr>
        <sz val="11"/>
        <color theme="1"/>
        <rFont val="Bosch Office Sans"/>
        <family val="2"/>
      </rPr>
      <t xml:space="preserve">
</t>
    </r>
    <r xmlns="http://schemas.openxmlformats.org/spreadsheetml/2006/main">
      <rPr>
        <sz val="11"/>
        <color rgb="FFFF0000"/>
        <rFont val="Bosch Office Sans"/>
      </rPr>
      <t xml:space="preserve">--&gt; %s* do not need register
--&gt; regString = "this is a te"
--&gt; regFloat = 3.525
</t>
    </r>
    <r xmlns="http://schemas.openxmlformats.org/spreadsheetml/2006/main">
      <rPr>
        <sz val="11"/>
        <color rgb="FF7030A0"/>
        <rFont val="Bosch Office Sans"/>
      </rPr>
      <t>IF:</t>
    </r>
    <r xmlns="http://schemas.openxmlformats.org/spreadsheetml/2006/main">
      <rPr>
        <sz val="11"/>
        <color rgb="FFFF0000"/>
        <rFont val="Bosch Office Sans"/>
      </rPr>
      <t xml:space="preserve">
</t>
    </r>
    <r xmlns="http://schemas.openxmlformats.org/spreadsheetml/2006/main">
      <rPr>
        <b/>
        <sz val="11"/>
        <color theme="1"/>
        <rFont val="Bosch Office Sans"/>
      </rPr>
      <t xml:space="preserve">file_readSingleLine 3 "%s12%s*20%f5" regString regFloat </t>
    </r>
    <r xmlns="http://schemas.openxmlformats.org/spreadsheetml/2006/main">
      <rPr>
        <sz val="11"/>
        <color rgb="FFFF0000"/>
        <rFont val="Bosch Office Sans"/>
      </rPr>
      <t xml:space="preserve">
--&gt; regString = "this is a te"
--&gt; regFloat = -1.0(default value), because 12+20=32 greater than text length(for this example ,this length equal 26),%f5 be ignored
</t>
    </r>
    <r xmlns="http://schemas.openxmlformats.org/spreadsheetml/2006/main">
      <rPr>
        <sz val="11"/>
        <color rgb="FF7030A0"/>
        <rFont val="Bosch Office Sans"/>
      </rPr>
      <t xml:space="preserve">IF:
</t>
    </r>
    <r xmlns="http://schemas.openxmlformats.org/spreadsheetml/2006/main">
      <rPr>
        <b/>
        <sz val="11"/>
        <color theme="1"/>
        <rFont val="Bosch Office Sans"/>
      </rPr>
      <t>file_readSingleLine 3 "%d2%s*13%d5" regInt  regFloat</t>
    </r>
    <r xmlns="http://schemas.openxmlformats.org/spreadsheetml/2006/main">
      <rPr>
        <sz val="11"/>
        <color rgb="FF7030A0"/>
        <rFont val="Bosch Office Sans"/>
      </rPr>
      <t xml:space="preserve">
</t>
    </r>
    <r xmlns="http://schemas.openxmlformats.org/spreadsheetml/2006/main">
      <rPr>
        <sz val="11"/>
        <color rgb="FFFF0000"/>
        <rFont val="Bosch Office Sans"/>
      </rPr>
      <t>--&gt; regInt = 0x7FFFFFFF
--&gt; regFloat =23</t>
    </r>
  </si>
  <si>
    <t>file_appendLine</t>
  </si>
  <si>
    <t>&lt;string_to_write_or_with_placeholder | in_register_name&gt; [register_name1] [register_name2] …</t>
  </si>
  <si>
    <t>&lt;string&gt;[register]…</t>
  </si>
  <si>
    <r xmlns="http://schemas.openxmlformats.org/spreadsheetml/2006/main">
      <t xml:space="preserve">Write a line at the end of file
1,&lt;string_to_write_or_with_placeholder&gt; text need be write,it can contain placeholder
      a, "%s", get string value from register
      b, "%d", get intenger value from register
      c, "%f", get float value from register, for ATS, it the same as %d
        </t>
    </r>
    <r xmlns="http://schemas.openxmlformats.org/spreadsheetml/2006/main">
      <rPr>
        <sz val="11"/>
        <color rgb="FFFF0000"/>
        <rFont val="Bosch Office Sans"/>
      </rPr>
      <t>Note: i), register count sholuld be equal placeholder count
                  ii), placeholder can be combine together, like "%s%d%f".
                  iii), if register type error, it will be write string"(err_invalid_type)". (not include double 
                         quotes)</t>
    </r>
  </si>
  <si>
    <r xmlns="http://schemas.openxmlformats.org/spreadsheetml/2006/main">
      <t xml:space="preserve">DEC_REF regWrite regTime regTest
math regTime = 1
string_cat regTest "Hello"
strinf_cat regWrite "Write at the last line </t>
    </r>
    <r xmlns="http://schemas.openxmlformats.org/spreadsheetml/2006/main">
      <rPr>
        <b/>
        <sz val="11"/>
        <color theme="1"/>
        <rFont val="Bosch Office Sans"/>
      </rPr>
      <t>%d</t>
    </r>
    <r xmlns="http://schemas.openxmlformats.org/spreadsheetml/2006/main">
      <rPr>
        <sz val="11"/>
        <color theme="1"/>
        <rFont val="Bosch Office Sans"/>
        <family val="2"/>
      </rPr>
      <t xml:space="preserve"> time </t>
    </r>
    <r xmlns="http://schemas.openxmlformats.org/spreadsheetml/2006/main">
      <rPr>
        <b/>
        <sz val="11"/>
        <color theme="1"/>
        <rFont val="Bosch Office Sans"/>
      </rPr>
      <t>%s</t>
    </r>
    <r xmlns="http://schemas.openxmlformats.org/spreadsheetml/2006/main">
      <rPr>
        <sz val="11"/>
        <color theme="1"/>
        <rFont val="Bosch Office Sans"/>
        <family val="2"/>
      </rPr>
      <t>"
file_appendLine regWrite regTime regTest  --&gt; "Write at the last line 1 time Hello" will be add in file last line
math regTime = 2
file_appendLine regWrite regTime regTest  --&gt; "Write at the last line 2 time Hello" will be add in file last line
math regTime = 3
file_appendLine regWrite regTime regTest --&gt; "Write at the last line 3 time Hello" will be add in file last line
file_appendLine regWrite regTime</t>
    </r>
    <r xmlns="http://schemas.openxmlformats.org/spreadsheetml/2006/main">
      <rPr>
        <sz val="11"/>
        <color rgb="FFFF0000"/>
        <rFont val="Bosch Office Sans"/>
      </rPr>
      <t xml:space="preserve"> regTime</t>
    </r>
    <r xmlns="http://schemas.openxmlformats.org/spreadsheetml/2006/main">
      <rPr>
        <sz val="11"/>
        <color theme="1"/>
        <rFont val="Bosch Office Sans"/>
        <family val="2"/>
      </rPr>
      <t xml:space="preserve"> --&gt;</t>
    </r>
    <r xmlns="http://schemas.openxmlformats.org/spreadsheetml/2006/main">
      <rPr>
        <sz val="11"/>
        <color rgb="FFFF0000"/>
        <rFont val="Bosch Office Sans"/>
      </rPr>
      <t xml:space="preserve"> "Write at the last line 3 time (err_invalid_type)" </t>
    </r>
    <r xmlns="http://schemas.openxmlformats.org/spreadsheetml/2006/main">
      <rPr>
        <sz val="11"/>
        <color theme="1"/>
        <rFont val="Bosch Office Sans"/>
        <family val="2"/>
      </rPr>
      <t>will be add in file last line</t>
    </r>
  </si>
  <si>
    <t>file_writeToLine</t>
  </si>
  <si>
    <t>&lt;int_line_number | in_register_name&gt; &lt;string_to_write_or_with_placeholder | in_register_name&gt; [register_name1] [register_name2] …</t>
  </si>
  <si>
    <t>&lt;value&gt;&lt;string&gt;[register]…</t>
  </si>
  <si>
    <r xmlns="http://schemas.openxmlformats.org/spreadsheetml/2006/main">
      <t xml:space="preserve">Write a lint at specfied line in file already be opened
1,&lt;int_line_number&gt; line index that based on 1, default is 1
1,&lt;string_to_write_or_with_placeholder&gt; </t>
    </r>
    <r xmlns="http://schemas.openxmlformats.org/spreadsheetml/2006/main">
      <rPr>
        <b/>
        <sz val="11"/>
        <color rgb="FFFF0000"/>
        <rFont val="Bosch Office Sans"/>
      </rPr>
      <t>The same as function file_appendLine</t>
    </r>
  </si>
  <si>
    <r xmlns="http://schemas.openxmlformats.org/spreadsheetml/2006/main">
      <t xml:space="preserve">Assume there has 10 lines in file test.txt
DEC_REF regWrite regTime regTest
math regTime = 1
string_cat regTest "Hello"
strinf_cat regWrite "Write at the last line %d time %s"
file_writeToLine 5 regWrite regTime regTest  --&gt; "Write at the last line 1 time Hello"  replace line 5 text
math regTime = 2
file_writeToLine 6 regWrite regTime regTest  --&gt; "Write at the last line 2 time Hello"  replace line 6 text
math regTime = 3
 file_writeToLine 7 regWrite regTime regTest --&gt; "Write at the last line 3 time Hello"  replace line 7 text
file_writeToLine 8 regWrite regTime </t>
    </r>
    <r xmlns="http://schemas.openxmlformats.org/spreadsheetml/2006/main">
      <rPr>
        <sz val="11"/>
        <color rgb="FFFF0000"/>
        <rFont val="Bosch Office Sans"/>
      </rPr>
      <t>regTime --&gt; "Write at the last line 3 time (err_invalid_type)"</t>
    </r>
    <r xmlns="http://schemas.openxmlformats.org/spreadsheetml/2006/main">
      <rPr>
        <sz val="11"/>
        <color theme="1"/>
        <rFont val="Bosch Office Sans"/>
        <family val="2"/>
      </rPr>
      <t xml:space="preserve"> replace line 8 text</t>
    </r>
  </si>
  <si>
    <t>file_copyFile</t>
  </si>
  <si>
    <t>&lt;source_file | in_register_name&gt; &lt;des_file | in_register&gt; [return_register_name]</t>
  </si>
  <si>
    <r xmlns="http://schemas.openxmlformats.org/spreadsheetml/2006/main">
      <t xml:space="preserve">Copy a file
1,&lt;source_file&gt; source file path and file name(with file extension)
2, &lt;def_file&gt; destinatino file path and file name(with file extension)
</t>
    </r>
    <r xmlns="http://schemas.openxmlformats.org/spreadsheetml/2006/main">
      <rPr>
        <sz val="11"/>
        <color rgb="FFFF0000"/>
        <rFont val="Bosch Office Sans"/>
      </rPr>
      <t xml:space="preserve">Note: i) file path should contain double back slash
          ii), destination file name can be different with source file name, but file extension mus be 
               the same
          iii) if there has a same file in destination path, it will be covered and no prompt
</t>
    </r>
    <r xmlns="http://schemas.openxmlformats.org/spreadsheetml/2006/main">
      <rPr>
        <sz val="11"/>
        <color theme="1"/>
        <rFont val="Bosch Office Sans"/>
      </rPr>
      <t>3,[return_register_name] optional parameter, indicate copy file success(0) or fail(error code)</t>
    </r>
  </si>
  <si>
    <t>file_copyFile "C:\\myFolder\\test.txt" "C:\\myFolder\\Folder\\copy.txt"</t>
  </si>
  <si>
    <t>file_deleteFile</t>
  </si>
  <si>
    <t>&lt;file_path_name | in_register_name&gt; [return_register_name]</t>
  </si>
  <si>
    <t>&lt;string&gt;[register]</t>
  </si>
  <si>
    <t xml:space="preserve">Delete a file
1,&lt;file_path_name&gt; file name that need be deleted
2,[return_register_name] optional parameter, indicate delete file success(0) or fail(error code)</t>
  </si>
  <si>
    <t>file_deleteFile "C:\\myFolder\\Folder\\copy.txt"</t>
  </si>
  <si>
    <t>startIf</t>
  </si>
  <si>
    <t>IfElse</t>
  </si>
  <si>
    <t xml:space="preserve"> &lt;condition_expression&gt;</t>
  </si>
  <si>
    <t>Conditional judgment expression</t>
  </si>
  <si>
    <r xmlns="http://schemas.openxmlformats.org/spreadsheetml/2006/main">
      <t xml:space="preserve">startIf Result1 == 5
// do something
elseIf (Result1 == Result2) &amp;&amp; ( Result3 == 2)
// do something
</t>
    </r>
    <r xmlns="http://schemas.openxmlformats.org/spreadsheetml/2006/main">
      <rPr>
        <sz val="11"/>
        <color rgb="FFFF0000"/>
        <rFont val="Bosch Office Sans"/>
      </rPr>
      <t>startIf Result2 == ( Result1 | 3 )
//do somethig              -- &gt; the seconed level IfElse
end if</t>
    </r>
    <r xmlns="http://schemas.openxmlformats.org/spreadsheetml/2006/main">
      <rPr>
        <sz val="11"/>
        <color theme="1"/>
        <rFont val="Bosch Office Sans"/>
        <family val="2"/>
      </rPr>
      <t xml:space="preserve">
else
// do somethig
endIf</t>
    </r>
  </si>
  <si>
    <t>elseIf</t>
  </si>
  <si>
    <t>else</t>
  </si>
  <si>
    <t>endIf</t>
  </si>
  <si>
    <t>label to tell software this is the last action for "startIf"</t>
  </si>
  <si>
    <t>Test software version</t>
  </si>
  <si>
    <t>1.0.0.0</t>
  </si>
  <si>
    <t xml:space="preserve">System Test Specification  - Guidelines</t>
  </si>
  <si>
    <t xml:space="preserve">&gt;&gt;   ATTENTION  &lt;&lt;</t>
  </si>
  <si>
    <t>To be added</t>
  </si>
  <si>
    <t>Getting Started (sequence development)</t>
  </si>
  <si>
    <t>TAB "Version History"</t>
  </si>
  <si>
    <t>update after changes</t>
  </si>
  <si>
    <t>TAB "Guidelines"</t>
  </si>
  <si>
    <t>this page - guidelines for the template</t>
  </si>
  <si>
    <t>TAB " Environment"</t>
  </si>
  <si>
    <t>fill in test related data, after following hints:</t>
  </si>
  <si>
    <t>Test Object - write a short description of tested functionality (it is possible to copy - paste overview part of software requirements specification</t>
  </si>
  <si>
    <t>Test Items - fill in PVCS label for tested software version - must be updated for each test loop; fill in projects which make use of this document and their start and end date</t>
  </si>
  <si>
    <t>Test completeness criteria - write measures taken into account to ensure testing completeness</t>
  </si>
  <si>
    <t>Test end criteria - write criteria which defines how much of the test cases have to be performed and what test result has to be achieved in order to meet the test goal - change it whenever necessary</t>
  </si>
  <si>
    <t>Assumptions and constrains - type assumptions or constrains - must be updated at each change of any assumption or constrain</t>
  </si>
  <si>
    <t>Test strategy - list here techniques used to develop the test cases</t>
  </si>
  <si>
    <t>Test platform - write type of platform used for tests; change it whenever necessary</t>
  </si>
  <si>
    <t>Hardware tools - fill in hardware tools used to perform the test; add any relevant information (e.g. calibrated powersource); update for any test loop if necessary</t>
  </si>
  <si>
    <t>Software tools - list every software used for testing and its version; add any relevant information (e.g. validated tool); update for any test loop if necessary</t>
  </si>
  <si>
    <t>Template Changes History</t>
  </si>
  <si>
    <t xml:space="preserve">Date </t>
  </si>
  <si>
    <t>Merge the ATS and Manual Test case template</t>
  </si>
  <si>
    <t>Version</t>
  </si>
  <si>
    <t>Author</t>
  </si>
  <si>
    <t>First version</t>
  </si>
  <si>
    <t>Ma Lin</t>
  </si>
  <si>
    <t>Li Feng</t>
  </si>
  <si>
    <t>Updata Excel Macro</t>
  </si>
  <si>
    <t>Update Help sheet</t>
  </si>
  <si>
    <t>Update Help sheet（Line70 - Line 80)</t>
  </si>
  <si>
    <t xml:space="preserve">1,Update Help sheet （Line81 - Line 88)
2,Allow cell drag-and-drop</t>
  </si>
  <si>
    <t xml:space="preserve">1,Modify function parameters for "CanEx" type
2, Add new function "canEx_sendRecv" for "CanEx"</t>
  </si>
  <si>
    <t>1, Add "startIf" "elseIf" "else" and "endIf" commands</t>
  </si>
  <si>
    <t xml:space="preserve">1， Modify "can_vt_XXX" related functions, set the parameter "channel" as optional
2, Add new key command "msgBox_getACKValue" for type "Popup window"
3, Add new key command "dbc_perodicSetSignal" , "dbc_stopPerodicSetSignal" , "dbc_stopAllPerodicSetSignal" and "dbc_restartPerodicSetSignal"</t>
  </si>
  <si>
    <t>Update ATS and Manual Test case template</t>
  </si>
  <si>
    <t>Update for BiTech/EST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</si>
</sst>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yyyy\-mm\-dd;@"/>
    <numFmt numFmtId="166" formatCode="0.0_ "/>
  </numFmts>
  <fonts count="52">
    <font>
      <sz val="11"/>
      <color theme="1"/>
      <name val="Calibri"/>
      <family val="2"/>
      <scheme val="minor"/>
    </font>
    <font>
      <sz val="10"/>
      <color theme="1"/>
      <name val="Arial"/>
      <family val="2"/>
    </font>
    <font>
      <sz val="10"/>
      <color theme="1"/>
      <name val="Arial"/>
      <family val="2"/>
    </font>
    <font>
      <sz val="10"/>
      <name val="Arial"/>
      <family val="2"/>
    </font>
    <font>
      <b/>
      <sz val="16"/>
      <name val="Arial"/>
      <family val="2"/>
    </font>
    <font>
      <b/>
      <sz val="10"/>
      <color theme="1"/>
      <name val="Arial"/>
      <family val="2"/>
    </font>
    <font>
      <b/>
      <sz val="10"/>
      <name val="Arial"/>
      <family val="2"/>
    </font>
    <font>
      <b/>
      <sz val="11"/>
      <name val="Arial"/>
      <family val="2"/>
    </font>
    <font>
      <b/>
      <sz val="12"/>
      <name val="Arial"/>
      <family val="2"/>
    </font>
    <font>
      <u/>
      <sz val="10"/>
      <color indexed="12"/>
      <name val="MS Sans Serif"/>
      <family val="2"/>
    </font>
    <font>
      <sz val="8"/>
      <name val="Arial"/>
      <family val="2"/>
    </font>
    <font>
      <b/>
      <sz val="11"/>
      <color rgb="FFFF0000"/>
      <name val="Arial"/>
      <family val="2"/>
    </font>
    <font>
      <sz val="14"/>
      <name val="Arial"/>
      <family val="2"/>
    </font>
    <font>
      <sz val="11"/>
      <name val="Arial"/>
      <family val="2"/>
    </font>
    <font>
      <sz val="12"/>
      <name val="Arial"/>
      <family val="2"/>
    </font>
    <font>
      <sz val="11"/>
      <color theme="1"/>
      <name val="Bosch Office Sans"/>
      <family val="2"/>
    </font>
    <font>
      <b/>
      <sz val="11"/>
      <color theme="1"/>
      <name val="Bosch Office Sans"/>
      <family val="2"/>
    </font>
    <font>
      <b/>
      <sz val="10"/>
      <color rgb="FFFF0000"/>
      <name val="Arial"/>
      <family val="2"/>
    </font>
    <font>
      <b/>
      <sz val="14"/>
      <color theme="1"/>
      <name val="Bosch Office Sans"/>
      <family val="2"/>
    </font>
    <font>
      <i/>
      <sz val="10"/>
      <name val="Arial"/>
      <family val="2"/>
    </font>
    <font>
      <sz val="11"/>
      <color rgb="FFFF0000"/>
      <name val="Calibri"/>
      <family val="2"/>
      <scheme val="minor"/>
    </font>
    <font>
      <b/>
      <sz val="10"/>
      <name val="Bosch Office Sans"/>
      <family val="2"/>
    </font>
    <font>
      <sz val="10"/>
      <color theme="9" tint="-0.499984740745262"/>
      <name val="Arial"/>
      <family val="2"/>
    </font>
    <font>
      <b/>
      <sz val="18"/>
      <color theme="1"/>
      <name val="Arial"/>
      <family val="2"/>
    </font>
    <font>
      <b/>
      <sz val="9"/>
      <color theme="1"/>
      <name val="Arial"/>
      <family val="2"/>
    </font>
    <font>
      <b/>
      <sz val="14"/>
      <name val="Arial"/>
      <family val="2"/>
    </font>
    <font>
      <sz val="11"/>
      <color theme="1"/>
      <name val="Arial"/>
      <family val="2"/>
    </font>
    <font>
      <b/>
      <sz val="24"/>
      <color theme="1"/>
      <name val="Bosch Office Sans"/>
    </font>
    <font>
      <sz val="11"/>
      <name val="Calibri"/>
      <family val="2"/>
      <scheme val="minor"/>
    </font>
    <font>
      <sz val="11"/>
      <name val="Calibri"/>
      <family val="3"/>
      <scheme val="minor"/>
    </font>
    <font>
      <sz val="11"/>
      <name val="Bosch Office Sans"/>
      <family val="2"/>
    </font>
    <font>
      <sz val="11"/>
      <color theme="1"/>
      <name val="Bosch Office Sans"/>
    </font>
    <font>
      <sz val="11"/>
      <color rgb="FF0000FF"/>
      <name val="Bosch Office Sans"/>
      <family val="2"/>
    </font>
    <font>
      <sz val="11"/>
      <color rgb="FF0000FF"/>
      <name val="Calibri"/>
      <family val="2"/>
      <scheme val="minor"/>
    </font>
    <font>
      <sz val="11"/>
      <color rgb="FF0000FF"/>
      <name val="Bosch Office Sans"/>
    </font>
    <font>
      <strike/>
      <sz val="11"/>
      <color rgb="FFFF0000"/>
      <name val="Bosch Office Sans"/>
    </font>
    <font>
      <sz val="10"/>
      <color theme="9" tint="-0.499984740745262"/>
      <name val="Arial"/>
      <family val="2"/>
    </font>
    <font>
      <sz val="11"/>
      <color indexed="8"/>
      <name val="Calibri"/>
      <family val="2"/>
    </font>
    <font>
      <b/>
      <sz val="11"/>
      <color theme="1"/>
      <name val="Calibri"/>
      <family val="3"/>
      <scheme val="minor"/>
    </font>
    <font>
      <sz val="11"/>
      <color rgb="FF000000"/>
      <name val="宋体"/>
      <family val="2"/>
    </font>
    <font>
      <sz val="11"/>
      <color indexed="8"/>
      <name val="Cambria"/>
      <family val="3"/>
      <scheme val="major"/>
    </font>
    <font>
      <sz val="11"/>
      <color rgb="FF000000"/>
      <name val="Cambria"/>
      <family val="3"/>
      <scheme val="major"/>
    </font>
    <font>
      <sz val="11"/>
      <color theme="1"/>
      <name val="Calibri"/>
      <family val="2"/>
      <scheme val="minor"/>
    </font>
    <font>
      <sz val="10"/>
      <color indexed="8"/>
      <name val="Arial"/>
      <family val="2"/>
    </font>
    <font>
      <sz val="10"/>
      <color rgb="FF000000"/>
      <name val="Arial"/>
      <family val="2"/>
    </font>
    <font>
      <sz val="11"/>
      <color theme="1"/>
      <name val="Calibri"/>
      <family val="3"/>
      <scheme val="minor"/>
    </font>
    <font>
      <b/>
      <sz val="10"/>
      <color rgb="FF000000"/>
      <name val="Arial"/>
      <family val="2"/>
    </font>
    <font>
      <sz val="11"/>
      <color rgb="FF000000"/>
      <name val="Calibri"/>
      <family val="2"/>
      <scheme val="minor"/>
    </font>
    <font>
      <sz val="11"/>
      <color rgb="FF000000"/>
      <name val="GlobalFont_BOS"/>
      <family val="2"/>
    </font>
    <font>
      <sz val="10"/>
      <name val="Arial"/>
      <family val="2"/>
    </font>
    <font>
      <sz val="10"/>
      <name val="Arial"/>
      <family val="2"/>
    </font>
    <font>
      <sz val="11"/>
      <color rgb="FF000000"/>
      <name val="Calibri"/>
      <family val="2"/>
      <scheme val="minor"/>
    </font>
  </fonts>
  <fills count="24">
    <fill>
      <patternFill patternType="none"/>
    </fill>
    <fill>
      <patternFill patternType="gray125"/>
    </fill>
    <fill>
      <patternFill patternType="solid">
        <fgColor theme="9" tint="-0.249977111117893"/>
        <bgColor indexed="64"/>
      </patternFill>
    </fill>
    <fill>
      <patternFill patternType="solid">
        <fgColor indexed="9"/>
        <bgColor indexed="64"/>
      </patternFill>
    </fill>
    <fill>
      <patternFill patternType="solid">
        <fgColor theme="0" tint="-0.14999847407452621"/>
        <bgColor indexed="64"/>
      </patternFill>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00B0F0"/>
        <bgColor indexed="64"/>
      </patternFill>
    </fill>
    <fill>
      <patternFill patternType="solid">
        <fgColor rgb="FF00B050"/>
        <bgColor indexed="64"/>
      </patternFill>
    </fill>
    <fill>
      <patternFill patternType="solid">
        <fgColor theme="3" tint="0.59999389629810485"/>
        <bgColor indexed="64"/>
      </patternFill>
    </fill>
    <fill>
      <patternFill patternType="solid">
        <fgColor theme="2"/>
        <bgColor indexed="64"/>
      </patternFill>
    </fill>
    <fill>
      <patternFill patternType="solid">
        <fgColor rgb="FF0070C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theme="6" tint="0.79998168889431442"/>
        <bgColor indexed="65"/>
      </patternFill>
    </fill>
    <fill>
      <patternFill patternType="solid">
        <fgColor theme="5" tint="0.59999389629810485"/>
        <bgColor indexed="64"/>
      </patternFill>
    </fill>
    <fill>
      <patternFill patternType="solid">
        <fgColor rgb="FFFFFFFF" tint="0.59999389629810485"/>
        <bgColor indexed="64"/>
      </patternFill>
    </fill>
    <fill>
      <patternFill patternType="solid">
        <fgColor rgb="FFFFFFFF"/>
      </patternFill>
    </fill>
    <fill>
      <patternFill patternType="solid">
        <fgColor rgb="FFFFFFFF"/>
        <bgColor indexed="64"/>
      </patternFill>
    </fill>
    <fill>
      <patternFill patternType="solid">
        <fgColor theme="8" tint="0.39997558519241921"/>
        <bgColor indexed="64"/>
      </patternFill>
    </fill>
    <fill>
      <patternFill patternType="solid">
        <fgColor rgb="FFFFFFFF" tint="0.39997558519241921"/>
        <bgColor indexed="64"/>
      </patternFill>
    </fill>
    <fill>
      <patternFill patternType="solid">
        <fgColor rgb="FF008000"/>
      </patternFill>
    </fill>
  </fills>
  <borders count="44">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9" fillId="0" borderId="0"/>
    <xf numFmtId="0" fontId="42" fillId="0" borderId="0"/>
    <xf numFmtId="0" fontId="42" fillId="0" borderId="0"/>
    <xf numFmtId="0" fontId="3" fillId="0" borderId="0"/>
    <xf numFmtId="0" fontId="37" fillId="0" borderId="0"/>
    <xf numFmtId="0" fontId="3" fillId="0" borderId="0"/>
    <xf numFmtId="0" fontId="42" fillId="16" borderId="0"/>
    <xf numFmtId="0" fontId="3" fillId="0" borderId="0"/>
    <xf numFmtId="0" fontId="3" fillId="0" borderId="0"/>
    <xf numFmtId="0" fontId="3" fillId="0" borderId="0"/>
    <xf numFmtId="0" fontId="13" fillId="0" borderId="0"/>
    <xf numFmtId="0" fontId="42" fillId="16" borderId="0"/>
  </cellStyleXfs>
  <cellXfs count="411">
    <xf numFmtId="0" applyNumberFormat="1" fontId="0" applyFont="1" fillId="0" applyFill="1" borderId="0" applyBorder="1" xfId="0" applyProtection="1"/>
    <xf numFmtId="0" applyNumberFormat="1" fontId="9" applyFont="1" fillId="0" applyFill="1" borderId="0" applyBorder="1" xfId="1" applyProtection="1"/>
    <xf numFmtId="0" applyNumberFormat="1" fontId="42" applyFont="1" fillId="0" applyFill="1" borderId="0" applyBorder="1" xfId="2" applyProtection="1"/>
    <xf numFmtId="0" applyNumberFormat="1" fontId="42" applyFont="1" fillId="0" applyFill="1" borderId="0" applyBorder="1" xfId="3" applyProtection="1"/>
    <xf numFmtId="0" applyNumberFormat="1" fontId="3" applyFont="1" fillId="0" applyFill="1" borderId="0" applyBorder="1" xfId="4" applyProtection="1"/>
    <xf numFmtId="0" applyNumberFormat="1" fontId="37" applyFont="1" fillId="0" applyFill="1" borderId="0" applyBorder="1" xfId="5" applyProtection="1"/>
    <xf numFmtId="0" applyNumberFormat="1" fontId="3" applyFont="1" fillId="0" applyFill="1" borderId="0" applyBorder="1" xfId="6" applyProtection="1"/>
    <xf numFmtId="0" applyNumberFormat="1" fontId="42" applyFont="1" fillId="16" applyFill="1" borderId="0" applyBorder="1" xfId="7" applyProtection="1"/>
    <xf numFmtId="0" applyNumberFormat="1" fontId="3" applyFont="1" fillId="0" applyFill="1" borderId="0" applyBorder="1" xfId="8" applyProtection="1"/>
    <xf numFmtId="0" applyNumberFormat="1" fontId="3" applyFont="1" fillId="0" applyFill="1" borderId="0" applyBorder="1" xfId="9" applyProtection="1"/>
    <xf numFmtId="0" applyNumberFormat="1" fontId="3" applyFont="1" fillId="0" applyFill="1" borderId="0" applyBorder="1" xfId="10" applyProtection="1"/>
    <xf numFmtId="0" applyNumberFormat="1" fontId="13" applyFont="1" fillId="0" applyFill="1" borderId="0" applyBorder="1" xfId="11" applyProtection="1"/>
    <xf numFmtId="0" applyNumberFormat="1" fontId="42" applyFont="1" fillId="16" applyFill="1" borderId="0" applyBorder="1" xfId="12" applyProtection="1"/>
    <xf numFmtId="0" applyNumberFormat="1" fontId="0" applyFont="1" fillId="0" applyFill="1" borderId="0" applyBorder="1" xfId="0" applyProtection="1"/>
    <xf numFmtId="0" applyNumberFormat="1" fontId="0" applyFont="1" fillId="0" applyFill="1" borderId="0" applyBorder="1" xfId="0" applyProtection="1"/>
    <xf numFmtId="0" applyNumberFormat="1" fontId="5" applyFont="1" fillId="2" applyFill="1" borderId="1" applyBorder="1" xfId="0" applyProtection="1" applyAlignment="1">
      <alignment horizontal="center" vertical="center"/>
    </xf>
    <xf numFmtId="0" applyNumberFormat="1" fontId="0" applyFont="1" fillId="0" applyFill="1" borderId="1" applyBorder="1" xfId="0" applyProtection="1"/>
    <xf numFmtId="0" applyNumberFormat="1" fontId="0" applyFont="1" fillId="0" applyFill="1" borderId="1" applyBorder="1" xfId="0" applyProtection="1" applyAlignment="1">
      <alignment vertical="center"/>
    </xf>
    <xf numFmtId="0" applyNumberFormat="1" fontId="0" applyFont="1" fillId="0" applyFill="1" borderId="1" applyBorder="1" xfId="0" applyProtection="1" applyAlignment="1">
      <alignment horizontal="center" vertical="center"/>
    </xf>
    <xf numFmtId="0" applyNumberFormat="1" fontId="0" applyFont="1" fillId="0" applyFill="1" borderId="0" applyBorder="1" xfId="0" applyProtection="1" applyAlignment="1">
      <alignment horizontal="center" vertical="center"/>
    </xf>
    <xf numFmtId="0" applyNumberFormat="1" fontId="11" applyFont="1" fillId="4" applyFill="1" borderId="7" applyBorder="1" xfId="0" applyProtection="1" applyAlignment="1">
      <alignment horizontal="left"/>
    </xf>
    <xf numFmtId="49" applyNumberFormat="1" fontId="7" applyFont="1" fillId="4" applyFill="1" borderId="6" applyBorder="1" xfId="1" applyProtection="1" applyAlignment="1">
      <alignment horizontal="left"/>
    </xf>
    <xf numFmtId="0" applyNumberFormat="1" fontId="8" applyFont="1" fillId="0" applyFill="1" borderId="0" applyBorder="1" xfId="10" applyProtection="1"/>
    <xf numFmtId="0" applyNumberFormat="1" fontId="12" applyFont="1" fillId="0" applyFill="1" borderId="13" applyBorder="1" xfId="0" applyProtection="1" applyAlignment="1">
      <alignment vertical="center" wrapText="1"/>
    </xf>
    <xf numFmtId="0" applyNumberFormat="1" fontId="12" applyFont="1" fillId="0" applyFill="1" borderId="12" applyBorder="1" xfId="0" applyProtection="1" applyAlignment="1">
      <alignment horizontal="center" vertical="center"/>
    </xf>
    <xf numFmtId="0" applyNumberFormat="1" fontId="16" applyFont="1" fillId="0" applyFill="1" borderId="0" applyBorder="1" xfId="0" applyProtection="1"/>
    <xf numFmtId="0" applyNumberFormat="1" fontId="6" applyFont="1" fillId="0" applyFill="1" borderId="0" applyBorder="1" xfId="10" applyProtection="1" applyAlignment="1">
      <alignment vertical="top"/>
    </xf>
    <xf numFmtId="49" applyNumberFormat="1" fontId="6" applyFont="1" fillId="0" applyFill="1" borderId="0" applyBorder="1" xfId="10" applyProtection="1" applyAlignment="1">
      <alignment vertical="top"/>
    </xf>
    <xf numFmtId="0" applyNumberFormat="1" fontId="17" applyFont="1" fillId="0" applyFill="1" borderId="0" applyBorder="1" xfId="0" applyProtection="1"/>
    <xf numFmtId="0" applyNumberFormat="1" fontId="3" applyFont="1" fillId="0" applyFill="1" borderId="0" applyBorder="1" xfId="11" applyProtection="1" applyAlignment="1">
      <alignment vertical="top"/>
    </xf>
    <xf numFmtId="0" applyNumberFormat="1" fontId="3" applyFont="1" fillId="0" applyFill="1" borderId="0" applyBorder="1" xfId="11" applyProtection="1" applyAlignment="1">
      <alignment vertical="top" wrapText="1"/>
    </xf>
    <xf numFmtId="0" applyNumberFormat="1" fontId="3" applyFont="1" fillId="0" applyFill="1" borderId="0" applyBorder="1" xfId="11" applyProtection="1" applyAlignment="1">
      <alignment vertical="center" wrapText="1"/>
    </xf>
    <xf numFmtId="0" applyNumberFormat="1" fontId="18" applyFont="1" fillId="0" applyFill="1" borderId="0" applyBorder="1" xfId="0" applyProtection="1"/>
    <xf numFmtId="0" applyNumberFormat="1" fontId="4" applyFont="1" fillId="0" applyFill="1" borderId="0" applyBorder="1" xfId="8" applyProtection="1" applyAlignment="1">
      <alignment horizontal="left" indent="2"/>
    </xf>
    <xf numFmtId="0" applyNumberFormat="1" fontId="4" applyFont="1" fillId="0" applyFill="1" borderId="0" applyBorder="1" xfId="8" applyProtection="1">
      <alignment wrapText="1"/>
    </xf>
    <xf numFmtId="0" applyNumberFormat="1" fontId="14" applyFont="1" fillId="0" applyFill="1" borderId="0" applyBorder="1" xfId="8" applyProtection="1"/>
    <xf numFmtId="0" applyNumberFormat="1" fontId="3" applyFont="1" fillId="0" applyFill="1" borderId="0" applyBorder="1" xfId="8" applyProtection="1">
      <alignment wrapText="1"/>
    </xf>
    <xf numFmtId="0" applyNumberFormat="1" fontId="8" applyFont="1" fillId="0" applyFill="1" borderId="0" applyBorder="1" xfId="8" applyProtection="1" applyAlignment="1">
      <alignment horizontal="left" indent="3"/>
    </xf>
    <xf numFmtId="0" applyNumberFormat="1" fontId="8" applyFont="1" fillId="0" applyFill="1" borderId="0" applyBorder="1" xfId="8" applyProtection="1">
      <alignment wrapText="1"/>
    </xf>
    <xf numFmtId="0" applyNumberFormat="1" fontId="19" applyFont="1" fillId="0" applyFill="1" borderId="0" applyBorder="1" xfId="8" applyProtection="1" applyAlignment="1">
      <alignment horizontal="center" vertical="center" wrapText="1"/>
    </xf>
    <xf numFmtId="0" applyNumberFormat="1" fontId="8" applyFont="1" fillId="0" applyFill="1" borderId="0" applyBorder="1" xfId="8" applyProtection="1" applyAlignment="1">
      <alignment vertical="center" wrapText="1"/>
    </xf>
    <xf numFmtId="0" applyNumberFormat="1" fontId="8" applyFont="1" fillId="0" applyFill="1" borderId="0" applyBorder="1" xfId="8" applyProtection="1" applyAlignment="1">
      <alignment horizontal="center" vertical="center"/>
    </xf>
    <xf numFmtId="0" applyNumberFormat="1" fontId="3" applyFont="1" fillId="6" applyFill="1" borderId="0" applyBorder="1" xfId="8" applyProtection="1" applyAlignment="1">
      <alignment vertical="center" wrapText="1"/>
    </xf>
    <xf numFmtId="0" applyNumberFormat="1" fontId="3" applyFont="1" fillId="6" applyFill="1" borderId="0" applyBorder="1" xfId="8" applyProtection="1"/>
    <xf numFmtId="0" applyNumberFormat="1" fontId="19" applyFont="1" fillId="0" applyFill="1" borderId="3" applyBorder="1" xfId="8" applyProtection="1" applyAlignment="1">
      <alignment horizontal="left" vertical="center" wrapText="1"/>
    </xf>
    <xf numFmtId="0" applyNumberFormat="1" fontId="3" applyFont="1" fillId="0" applyFill="1" borderId="4" applyBorder="1" xfId="8" applyProtection="1" applyAlignment="1">
      <alignment horizontal="center"/>
    </xf>
    <xf numFmtId="0" applyNumberFormat="1" fontId="3" applyFont="1" fillId="0" applyFill="1" borderId="5" applyBorder="1" xfId="8" applyProtection="1" applyAlignment="1">
      <alignment horizontal="center"/>
    </xf>
    <xf numFmtId="0" applyNumberFormat="1" fontId="19" applyFont="1" fillId="0" applyFill="1" borderId="14" applyBorder="1" xfId="8" applyProtection="1" applyAlignment="1">
      <alignment horizontal="left" vertical="center" wrapText="1"/>
    </xf>
    <xf numFmtId="0" applyNumberFormat="1" fontId="3" applyFont="1" fillId="0" applyFill="1" borderId="1" applyBorder="1" xfId="8" applyProtection="1" applyAlignment="1">
      <alignment horizontal="center"/>
    </xf>
    <xf numFmtId="0" applyNumberFormat="1" fontId="3" applyFont="1" fillId="0" applyFill="1" borderId="15" applyBorder="1" xfId="8" applyProtection="1" applyAlignment="1">
      <alignment horizontal="center"/>
    </xf>
    <xf numFmtId="0" applyNumberFormat="1" fontId="19" applyFont="1" fillId="0" applyFill="1" borderId="17" applyBorder="1" xfId="8" applyProtection="1" applyAlignment="1">
      <alignment horizontal="left" vertical="center" wrapText="1"/>
    </xf>
    <xf numFmtId="0" applyNumberFormat="1" fontId="3" applyFont="1" fillId="0" applyFill="1" borderId="18" applyBorder="1" xfId="8" applyProtection="1" applyAlignment="1">
      <alignment horizontal="center"/>
    </xf>
    <xf numFmtId="0" applyNumberFormat="1" fontId="3" applyFont="1" fillId="0" applyFill="1" borderId="19" applyBorder="1" xfId="8" applyProtection="1" applyAlignment="1">
      <alignment horizontal="center"/>
    </xf>
    <xf numFmtId="0" applyNumberFormat="1" fontId="3" applyFont="1" fillId="6" applyFill="1" borderId="0" applyBorder="1" xfId="8" applyProtection="1">
      <alignment wrapText="1"/>
    </xf>
    <xf numFmtId="0" applyNumberFormat="1" fontId="3" applyFont="1" fillId="0" applyFill="1" borderId="0" applyBorder="1" xfId="8" applyProtection="1" applyAlignment="1">
      <alignment horizontal="right"/>
    </xf>
    <xf numFmtId="0" applyNumberFormat="1" fontId="14" applyFont="1" fillId="0" applyFill="1" borderId="0" applyBorder="1" xfId="8" applyProtection="1">
      <alignment wrapText="1"/>
    </xf>
    <xf numFmtId="0" applyNumberFormat="1" fontId="3" applyFont="1" fillId="6" applyFill="1" borderId="0" applyBorder="1" xfId="8" applyProtection="1" applyAlignment="1">
      <alignment horizontal="left" vertical="center" wrapText="1"/>
    </xf>
    <xf numFmtId="0" applyNumberFormat="1" fontId="14" applyFont="1" fillId="0" applyFill="1" borderId="0" applyBorder="1" xfId="8" applyProtection="1"/>
    <xf numFmtId="0" applyNumberFormat="1" fontId="6" applyFont="1" fillId="0" applyFill="1" borderId="0" applyBorder="1" xfId="3" applyProtection="1"/>
    <xf numFmtId="0" applyNumberFormat="1" fontId="3" applyFont="1" fillId="0" applyFill="1" borderId="0" applyBorder="1" xfId="3" applyProtection="1"/>
    <xf numFmtId="0" applyNumberFormat="1" fontId="3" applyFont="1" fillId="0" applyFill="1" borderId="0" applyBorder="1" xfId="3" applyProtection="1">
      <alignment wrapText="1"/>
    </xf>
    <xf numFmtId="0" applyNumberFormat="1" fontId="6" applyFont="1" fillId="0" applyFill="1" borderId="0" applyBorder="1" xfId="3" applyProtection="1" applyAlignment="1">
      <alignment vertical="center"/>
    </xf>
    <xf numFmtId="0" applyNumberFormat="1" fontId="3" applyFont="1" fillId="0" applyFill="1" borderId="0" applyBorder="1" xfId="3" applyProtection="1" applyAlignment="1">
      <alignment vertical="center"/>
    </xf>
    <xf numFmtId="0" applyNumberFormat="1" fontId="3" applyFont="1" fillId="0" applyFill="1" borderId="0" applyBorder="1" xfId="3" applyProtection="1" applyAlignment="1">
      <alignment vertical="center" wrapText="1"/>
    </xf>
    <xf numFmtId="0" applyNumberFormat="1" fontId="2" applyFont="1" fillId="0" applyFill="1" borderId="0" applyBorder="1" xfId="3" applyProtection="1"/>
    <xf numFmtId="0" applyNumberFormat="1" fontId="5" applyFont="1" fillId="0" applyFill="1" borderId="0" applyBorder="1" xfId="3" applyProtection="1"/>
    <xf numFmtId="0" applyNumberFormat="1" fontId="6" applyFont="1" fillId="0" applyFill="1" borderId="0" applyBorder="1" xfId="3" applyProtection="1">
      <alignment wrapText="1"/>
    </xf>
    <xf numFmtId="0" applyNumberFormat="1" fontId="6" applyFont="1" fillId="0" applyFill="1" borderId="0" applyBorder="1" xfId="3" applyProtection="1" applyAlignment="1">
      <alignment vertical="center" wrapText="1"/>
    </xf>
    <xf numFmtId="0" applyNumberFormat="1" fontId="2" applyFont="1" fillId="0" applyFill="1" borderId="0" applyBorder="1" xfId="3" applyProtection="1">
      <alignment wrapText="1"/>
    </xf>
    <xf numFmtId="0" applyNumberFormat="1" fontId="2" applyFont="1" fillId="0" applyFill="1" borderId="0" applyBorder="1" xfId="3" applyProtection="1" applyAlignment="1">
      <alignment vertical="center"/>
    </xf>
    <xf numFmtId="0" applyNumberFormat="1" fontId="2" applyFont="1" fillId="0" applyFill="1" borderId="0" applyBorder="1" xfId="3" applyProtection="1" applyAlignment="1">
      <alignment vertical="center" wrapText="1"/>
    </xf>
    <xf numFmtId="0" applyNumberFormat="1" fontId="2" applyFont="1" fillId="0" applyFill="1" borderId="0" applyBorder="1" xfId="3" applyProtection="1"/>
    <xf numFmtId="0" applyNumberFormat="1" fontId="5" applyFont="1" fillId="0" applyFill="1" borderId="0" applyBorder="1" xfId="3" applyProtection="1" applyAlignment="1">
      <alignment vertical="center" wrapText="1"/>
    </xf>
    <xf numFmtId="0" applyNumberFormat="1" fontId="1" applyFont="1" fillId="0" applyFill="1" borderId="0" applyBorder="1" xfId="3" applyProtection="1"/>
    <xf numFmtId="49" applyNumberFormat="1" fontId="7" applyFont="1" fillId="7" applyFill="1" borderId="1" applyBorder="1" xfId="0" applyProtection="1" applyAlignment="1">
      <alignment horizontal="left" vertical="center" wrapText="1"/>
    </xf>
    <xf numFmtId="0" applyNumberFormat="1" fontId="7" applyFont="1" fillId="7" applyFill="1" borderId="1" applyBorder="1" xfId="0" applyProtection="1" applyAlignment="1">
      <alignment horizontal="left" vertical="center" wrapText="1"/>
    </xf>
    <xf numFmtId="0" applyNumberFormat="1" fontId="3" applyFont="1" fillId="0" applyFill="1" borderId="0" applyBorder="1" xfId="3" applyProtection="1" applyAlignment="1">
      <alignment vertical="top" wrapText="1"/>
    </xf>
    <xf numFmtId="0" applyNumberFormat="1" fontId="5" applyFont="1" fillId="2" applyFill="1" borderId="1" applyBorder="1" xfId="0" applyProtection="1" applyAlignment="1">
      <alignment horizontal="center"/>
    </xf>
    <xf numFmtId="0" applyNumberFormat="1" fontId="5" applyFont="1" fillId="2" applyFill="1" borderId="6" applyBorder="1" xfId="0" applyProtection="1" applyAlignment="1">
      <alignment horizontal="center"/>
    </xf>
    <xf numFmtId="0" applyNumberFormat="1" fontId="0" applyFont="1" fillId="0" applyFill="1" borderId="0" applyBorder="1" xfId="0" applyProtection="1"/>
    <xf numFmtId="0" applyNumberFormat="1" fontId="21" applyFont="1" fillId="0" applyFill="1" borderId="0" applyBorder="1" xfId="3" applyProtection="1" applyAlignment="1">
      <alignment vertical="center" wrapText="1"/>
    </xf>
    <xf numFmtId="0" applyNumberFormat="1" fontId="21" applyFont="1" fillId="0" applyFill="1" borderId="0" applyBorder="1" xfId="3" applyProtection="1" applyAlignment="1">
      <alignment vertical="center" wrapText="1"/>
    </xf>
    <xf numFmtId="0" applyNumberFormat="1" fontId="0" applyFont="1" fillId="0" applyFill="1" borderId="0" applyBorder="1" xfId="0" applyProtection="1" applyAlignment="1">
      <alignment horizontal="center" vertical="center"/>
    </xf>
    <xf numFmtId="0" applyNumberFormat="1" fontId="0" applyFont="1" fillId="0" applyFill="1" borderId="0" applyBorder="1" xfId="0" applyProtection="1" applyAlignment="1">
      <alignment vertical="center" wrapText="1"/>
    </xf>
    <xf numFmtId="0" applyNumberFormat="1" fontId="0" applyFont="1" fillId="0" applyFill="1" borderId="0" applyBorder="1" xfId="0" applyProtection="1" applyAlignment="1">
      <alignment horizontal="left" vertical="center" wrapText="1"/>
    </xf>
    <xf numFmtId="0" applyNumberFormat="1" fontId="0" applyFont="1" fillId="0" applyFill="1" borderId="0" applyBorder="1" xfId="0" applyProtection="1" applyAlignment="1">
      <alignment horizontal="left" vertical="center"/>
    </xf>
    <xf numFmtId="0" applyNumberFormat="1" fontId="15" applyFont="1" fillId="0" applyFill="1" borderId="0" applyBorder="1" xfId="0" applyProtection="1" applyAlignment="1">
      <alignment horizontal="left" vertical="top"/>
    </xf>
    <xf numFmtId="0" applyNumberFormat="1" fontId="0" applyFont="1" fillId="0" applyFill="1" borderId="1" applyBorder="1" xfId="0" applyProtection="1">
      <alignment wrapText="1"/>
    </xf>
    <xf numFmtId="0" applyNumberFormat="1" fontId="0" applyFont="1" fillId="0" applyFill="1" borderId="1" applyBorder="1" xfId="0" applyProtection="1" applyAlignment="1">
      <alignment horizontal="left" vertical="top" wrapText="1"/>
    </xf>
    <xf numFmtId="0" applyNumberFormat="1" fontId="0" applyFont="1" fillId="0" applyFill="1" borderId="1" applyBorder="1" xfId="0" applyProtection="1" applyAlignment="1">
      <alignment horizontal="left" vertical="center" wrapText="1"/>
    </xf>
    <xf numFmtId="0" applyNumberFormat="1" fontId="6" applyFont="1" fillId="8" applyFill="1" borderId="1" applyBorder="1" xfId="0" applyProtection="1"/>
    <xf numFmtId="0" applyNumberFormat="1" fontId="22" applyFont="1" fillId="0" applyFill="1" borderId="0" applyBorder="1" xfId="0" applyProtection="1"/>
    <xf numFmtId="0" applyNumberFormat="1" fontId="22" applyFont="1" fillId="0" applyFill="1" borderId="0" applyBorder="1" xfId="0" applyProtection="1">
      <alignment wrapText="1"/>
    </xf>
    <xf numFmtId="0" applyNumberFormat="1" fontId="5" applyFont="1" fillId="2" applyFill="1" borderId="28" applyBorder="1" xfId="0" applyProtection="1" applyAlignment="1">
      <alignment horizontal="center"/>
    </xf>
    <xf numFmtId="49" applyNumberFormat="1" fontId="5" applyFont="1" fillId="2" applyFill="1" borderId="1" applyBorder="1" xfId="0" applyProtection="1" applyAlignment="1">
      <alignment horizontal="center"/>
    </xf>
    <xf numFmtId="0" applyNumberFormat="1" fontId="0" applyFont="1" fillId="9" applyFill="1" borderId="0" applyBorder="1" xfId="0" applyProtection="1"/>
    <xf numFmtId="0" applyNumberFormat="1" fontId="23" applyFont="1" fillId="10" applyFill="1" borderId="1" applyBorder="1" xfId="0" applyProtection="1" applyAlignment="1">
      <alignment vertical="center"/>
    </xf>
    <xf numFmtId="0" applyNumberFormat="1" fontId="23" applyFont="1" fillId="0" applyFill="1" borderId="0" applyBorder="1" xfId="0" applyProtection="1" applyAlignment="1">
      <alignment vertical="center"/>
    </xf>
    <xf numFmtId="0" applyNumberFormat="1" fontId="24" applyFont="1" fillId="10" applyFill="1" borderId="1" applyBorder="1" xfId="0" applyProtection="1" applyAlignment="1">
      <alignment horizontal="center" vertical="center" wrapText="1"/>
    </xf>
    <xf numFmtId="0" applyNumberFormat="1" fontId="0" applyFont="1" fillId="11" applyFill="1" borderId="1" applyBorder="1" xfId="0" applyProtection="1"/>
    <xf numFmtId="0" applyNumberFormat="1" fontId="6" applyFont="1" fillId="0" applyFill="1" borderId="0" applyBorder="1" xfId="6" applyProtection="1" applyAlignment="1">
      <alignment horizontal="center" vertical="center"/>
    </xf>
    <xf numFmtId="0" applyNumberFormat="1" fontId="25" applyFont="1" fillId="0" applyFill="1" borderId="0" applyBorder="1" xfId="6" applyProtection="1" applyAlignment="1">
      <alignment horizontal="left" vertical="center"/>
    </xf>
    <xf numFmtId="0" applyNumberFormat="1" fontId="8" applyFont="1" fillId="0" applyFill="1" borderId="0" applyBorder="1" xfId="6" applyProtection="1" applyAlignment="1">
      <alignment horizontal="center" vertical="center"/>
    </xf>
    <xf numFmtId="0" applyNumberFormat="1" fontId="3" applyFont="1" fillId="0" applyFill="1" borderId="3" applyBorder="1" xfId="3" applyProtection="1"/>
    <xf numFmtId="0" applyNumberFormat="1" fontId="3" applyFont="1" fillId="0" applyFill="1" borderId="4" applyBorder="1" xfId="3" applyProtection="1" applyAlignment="1">
      <alignment horizontal="center"/>
    </xf>
    <xf numFmtId="166" applyNumberFormat="1" fontId="3" applyFont="1" fillId="0" applyFill="1" borderId="30" applyBorder="1" xfId="3" applyProtection="1" applyAlignment="1">
      <alignment horizontal="center" vertical="center"/>
    </xf>
    <xf numFmtId="0" applyNumberFormat="1" fontId="3" applyFont="1" fillId="0" applyFill="1" borderId="30" applyBorder="1" xfId="3" applyProtection="1" applyAlignment="1">
      <alignment horizontal="left" vertical="center" wrapText="1"/>
    </xf>
    <xf numFmtId="14" applyNumberFormat="1" fontId="3" applyFont="1" fillId="0" applyFill="1" borderId="30" applyBorder="1" xfId="3" applyProtection="1" applyAlignment="1">
      <alignment horizontal="center" vertical="center"/>
    </xf>
    <xf numFmtId="0" applyNumberFormat="1" fontId="3" applyFont="1" fillId="0" applyFill="1" borderId="30" applyBorder="1" xfId="3" applyProtection="1" applyAlignment="1">
      <alignment horizontal="center" vertical="center"/>
    </xf>
    <xf numFmtId="166" applyNumberFormat="1" fontId="3" applyFont="1" fillId="0" applyFill="1" borderId="1" applyBorder="1" xfId="3" applyProtection="1" applyAlignment="1">
      <alignment horizontal="center" vertical="center"/>
    </xf>
    <xf numFmtId="0" applyNumberFormat="1" fontId="3" applyFont="1" fillId="0" applyFill="1" borderId="1" applyBorder="1" xfId="3" applyProtection="1" applyAlignment="1">
      <alignment horizontal="left" vertical="center" wrapText="1"/>
    </xf>
    <xf numFmtId="14" applyNumberFormat="1" fontId="3" applyFont="1" fillId="0" applyFill="1" borderId="1" applyBorder="1" xfId="3" applyProtection="1" applyAlignment="1">
      <alignment horizontal="center" vertical="center"/>
    </xf>
    <xf numFmtId="0" applyNumberFormat="1" fontId="3" applyFont="1" fillId="0" applyFill="1" borderId="1" applyBorder="1" xfId="3" applyProtection="1" applyAlignment="1">
      <alignment horizontal="center" vertical="center"/>
    </xf>
    <xf numFmtId="0" applyNumberFormat="1" fontId="12" applyFont="1" fillId="0" applyFill="1" borderId="0" applyBorder="1" xfId="6" applyProtection="1" applyAlignment="1">
      <alignment horizontal="center"/>
    </xf>
    <xf numFmtId="0" applyNumberFormat="1" fontId="10" applyFont="1" fillId="0" applyFill="1" borderId="0" applyBorder="1" xfId="6" applyProtection="1" applyAlignment="1">
      <alignment horizontal="center" vertical="center"/>
    </xf>
    <xf numFmtId="0" applyNumberFormat="1" fontId="8" applyFont="1" fillId="0" applyFill="1" borderId="0" applyBorder="1" xfId="6" applyAlignment="1">
      <alignment horizontal="center" vertical="top"/>
      <protection locked="0"/>
    </xf>
    <xf numFmtId="0" applyNumberFormat="1" fontId="10" applyFont="1" fillId="0" applyFill="1" borderId="0" applyBorder="1" xfId="6" applyProtection="1" applyAlignment="1">
      <alignment horizontal="center" vertical="center"/>
    </xf>
    <xf numFmtId="0" applyNumberFormat="1" fontId="6" applyFont="1" fillId="0" applyFill="1" borderId="0" applyBorder="1" xfId="6" applyProtection="1" applyAlignment="1">
      <alignment horizontal="left" vertical="top"/>
    </xf>
    <xf numFmtId="0" applyNumberFormat="1" fontId="3" applyFont="1" fillId="0" applyFill="1" borderId="0" applyBorder="1" xfId="6" applyProtection="1" applyAlignment="1">
      <alignment horizontal="left" vertical="top" wrapText="1"/>
    </xf>
    <xf numFmtId="0" applyNumberFormat="1" fontId="10" applyFont="1" fillId="0" applyFill="1" borderId="0" applyBorder="1" xfId="6" applyProtection="1" applyAlignment="1">
      <alignment horizontal="left" vertical="top" wrapText="1"/>
    </xf>
    <xf numFmtId="0" applyNumberFormat="1" fontId="10" applyFont="1" fillId="0" applyFill="1" borderId="0" applyBorder="1" xfId="6" applyProtection="1" applyAlignment="1">
      <alignment horizontal="left" vertical="top" wrapText="1"/>
    </xf>
    <xf numFmtId="0" applyNumberFormat="1" fontId="3" applyFont="1" fillId="5" applyFill="1" borderId="14" applyBorder="1" xfId="6" applyProtection="1" applyAlignment="1">
      <alignment horizontal="left" vertical="top" wrapText="1"/>
    </xf>
    <xf numFmtId="0" applyNumberFormat="1" fontId="3" applyFont="1" fillId="0" applyFill="1" borderId="1" applyBorder="1" xfId="6" applyProtection="1" applyAlignment="1">
      <alignment horizontal="left" vertical="top" wrapText="1"/>
    </xf>
    <xf numFmtId="0" applyNumberFormat="1" fontId="3" applyFont="1" fillId="5" applyFill="1" borderId="6" applyBorder="1" xfId="6" applyProtection="1" applyAlignment="1">
      <alignment horizontal="left" vertical="top" wrapText="1"/>
    </xf>
    <xf numFmtId="0" applyNumberFormat="1" fontId="3" applyFont="1" fillId="5" applyFill="1" borderId="1" applyBorder="1" xfId="6" applyProtection="1" applyAlignment="1">
      <alignment horizontal="left" vertical="top" wrapText="1"/>
    </xf>
    <xf numFmtId="0" applyNumberFormat="1" fontId="3" applyFont="1" fillId="0" applyFill="1" borderId="15" applyBorder="1" xfId="6" applyProtection="1" applyAlignment="1">
      <alignment horizontal="left" vertical="top" wrapText="1"/>
    </xf>
    <xf numFmtId="0" applyNumberFormat="1" fontId="3" applyFont="1" fillId="5" applyFill="1" borderId="30" applyBorder="1" xfId="6" applyProtection="1" applyAlignment="1">
      <alignment horizontal="left" vertical="top" wrapText="1"/>
    </xf>
    <xf numFmtId="0" applyNumberFormat="1" fontId="3" applyFont="1" fillId="0" applyFill="1" borderId="30" applyBorder="1" xfId="6" applyProtection="1" applyAlignment="1">
      <alignment horizontal="left" vertical="top" wrapText="1"/>
    </xf>
    <xf numFmtId="0" applyNumberFormat="1" fontId="3" applyFont="1" fillId="0" applyFill="1" borderId="34" applyBorder="1" xfId="6" applyProtection="1" applyAlignment="1">
      <alignment horizontal="left" vertical="top" wrapText="1"/>
    </xf>
    <xf numFmtId="0" applyNumberFormat="1" fontId="3" applyFont="1" fillId="0" applyFill="1" borderId="0" applyBorder="1" xfId="6" applyProtection="1"/>
    <xf numFmtId="0" applyNumberFormat="1" fontId="6" applyFont="1" fillId="0" applyFill="1" borderId="0" applyBorder="1" xfId="6" applyProtection="1"/>
    <xf numFmtId="0" applyNumberFormat="1" fontId="3" applyFont="1" fillId="0" applyFill="1" borderId="28" applyBorder="1" xfId="6" applyProtection="1" applyAlignment="1">
      <alignment horizontal="left" vertical="top" wrapText="1"/>
    </xf>
    <xf numFmtId="14" applyNumberFormat="1" fontId="3" applyFont="1" fillId="0" applyFill="1" borderId="15" applyBorder="1" xfId="6" applyProtection="1"/>
    <xf numFmtId="0" applyNumberFormat="1" fontId="3" applyFont="1" fillId="5" applyFill="1" borderId="17" applyBorder="1" xfId="6" applyProtection="1" applyAlignment="1">
      <alignment horizontal="left" vertical="top" wrapText="1"/>
    </xf>
    <xf numFmtId="0" applyNumberFormat="1" fontId="10" applyFont="1" fillId="0" applyFill="1" borderId="0" applyBorder="1" xfId="6" applyProtection="1"/>
    <xf numFmtId="0" applyNumberFormat="1" fontId="6" applyFont="1" fillId="5" applyFill="1" borderId="4" applyBorder="1" xfId="6" applyProtection="1"/>
    <xf numFmtId="0" applyNumberFormat="1" fontId="6" applyFont="1" fillId="0" applyFill="1" borderId="0" applyBorder="1" xfId="6" applyProtection="1"/>
    <xf numFmtId="0" applyNumberFormat="1" fontId="3" applyFont="1" fillId="0" applyFill="1" borderId="1" applyBorder="1" xfId="6" applyProtection="1"/>
    <xf numFmtId="0" applyNumberFormat="1" fontId="3" applyFont="1" fillId="0" applyFill="1" borderId="0" applyBorder="1" xfId="6" applyProtection="1"/>
    <xf numFmtId="0" applyNumberFormat="1" fontId="3" applyFont="1" fillId="0" applyFill="1" borderId="30" applyBorder="1" xfId="6" applyProtection="1"/>
    <xf numFmtId="0" applyNumberFormat="1" fontId="3" applyFont="1" fillId="0" applyFill="1" borderId="18" applyBorder="1" xfId="6" applyProtection="1"/>
    <xf numFmtId="0" applyNumberFormat="1" fontId="5" applyFont="1" fillId="2" applyFill="1" borderId="1" applyBorder="1" xfId="0" applyProtection="1" applyAlignment="1">
      <alignment horizontal="center" wrapText="1"/>
    </xf>
    <xf numFmtId="0" applyNumberFormat="1" fontId="3" applyFont="1" fillId="0" applyFill="1" borderId="31" applyBorder="1" xfId="3" applyProtection="1" applyAlignment="1">
      <alignment horizontal="center"/>
    </xf>
    <xf numFmtId="0" applyNumberFormat="1" fontId="3" applyFont="1" fillId="0" applyFill="1" borderId="1" applyBorder="1" xfId="6" applyProtection="1"/>
    <xf numFmtId="0" applyNumberFormat="1" fontId="15" applyFont="1" fillId="0" applyFill="1" borderId="0" applyBorder="1" xfId="0" applyProtection="1" applyAlignment="1">
      <alignment horizontal="left" vertical="center" wrapText="1"/>
    </xf>
    <xf numFmtId="0" applyNumberFormat="1" fontId="15" applyFont="1" fillId="0" applyFill="1" borderId="0" applyBorder="1" xfId="0" applyProtection="1" applyAlignment="1">
      <alignment horizontal="center" vertical="center"/>
    </xf>
    <xf numFmtId="0" applyNumberFormat="1" fontId="15" applyFont="1" fillId="0" applyFill="1" borderId="0" applyBorder="1" xfId="0" applyProtection="1" applyAlignment="1">
      <alignment horizontal="left" vertical="center"/>
    </xf>
    <xf numFmtId="0" applyNumberFormat="1" fontId="15" applyFont="1" fillId="0" applyFill="1" borderId="0" applyBorder="1" xfId="0" applyProtection="1" applyAlignment="1">
      <alignment horizontal="right" vertical="center"/>
    </xf>
    <xf numFmtId="0" applyNumberFormat="1" fontId="3" applyFont="1" fillId="0" applyFill="1" borderId="2" applyBorder="1" xfId="6" applyProtection="1"/>
    <xf numFmtId="0" applyNumberFormat="1" fontId="3" applyFont="1" fillId="0" applyFill="1" borderId="28" applyBorder="1" xfId="6" applyProtection="1" applyAlignment="1">
      <alignment horizontal="center"/>
    </xf>
    <xf numFmtId="0" applyNumberFormat="1" fontId="3" applyFont="1" fillId="5" applyFill="1" borderId="20" applyBorder="1" xfId="9" applyProtection="1"/>
    <xf numFmtId="0" applyNumberFormat="1" fontId="3" applyFont="1" fillId="5" applyFill="1" borderId="43" applyBorder="1" xfId="9" applyProtection="1" applyAlignment="1">
      <alignment horizontal="left" wrapText="1"/>
    </xf>
    <xf numFmtId="165" applyNumberFormat="1" fontId="3" applyFont="1" fillId="3" applyFill="1" borderId="1" applyBorder="1" xfId="0" applyProtection="1" applyAlignment="1">
      <alignment horizontal="left" wrapText="1"/>
    </xf>
    <xf numFmtId="165" applyNumberFormat="1" fontId="3" applyFont="1" fillId="3" applyFill="1" borderId="4" applyBorder="1" xfId="0" applyProtection="1" applyAlignment="1">
      <alignment horizontal="left" wrapText="1"/>
    </xf>
    <xf numFmtId="0" applyNumberFormat="1" fontId="26" applyFont="1" fillId="0" applyFill="1" borderId="6" applyBorder="1" xfId="0" applyProtection="1"/>
    <xf numFmtId="0" applyNumberFormat="1" fontId="26" applyFont="1" fillId="0" applyFill="1" borderId="15" applyBorder="1" xfId="0" applyProtection="1"/>
    <xf numFmtId="0" applyNumberFormat="1" fontId="26" applyFont="1" fillId="0" applyFill="1" borderId="41" applyBorder="1" xfId="0" applyProtection="1" applyAlignment="1">
      <alignment horizontal="right" vertical="center"/>
    </xf>
    <xf numFmtId="0" applyNumberFormat="1" fontId="26" applyFont="1" fillId="0" applyFill="1" borderId="5" applyBorder="1" xfId="0" applyProtection="1" applyAlignment="1">
      <alignment horizontal="left" vertical="center"/>
    </xf>
    <xf numFmtId="165" applyNumberFormat="1" fontId="3" applyFont="1" fillId="3" applyFill="1" borderId="1" applyBorder="1" xfId="0" applyProtection="1" applyAlignment="1">
      <alignment horizontal="left" vertical="center" wrapText="1"/>
    </xf>
    <xf numFmtId="166" applyNumberFormat="1" fontId="26" applyFont="1" fillId="0" applyFill="1" borderId="6" applyBorder="1" xfId="0" applyProtection="1" applyAlignment="1">
      <alignment horizontal="right" vertical="center"/>
    </xf>
    <xf numFmtId="0" applyNumberFormat="1" fontId="26" applyFont="1" fillId="0" applyFill="1" borderId="15" applyBorder="1" xfId="0" applyProtection="1" applyAlignment="1">
      <alignment horizontal="left" vertical="center"/>
    </xf>
    <xf numFmtId="0" applyNumberFormat="1" fontId="26" applyFont="1" fillId="0" applyFill="1" borderId="6" applyBorder="1" xfId="0" applyProtection="1" applyAlignment="1">
      <alignment horizontal="right" vertical="center"/>
    </xf>
    <xf numFmtId="0" applyNumberFormat="1" fontId="26" applyFont="1" fillId="0" applyFill="1" borderId="1" applyBorder="1" xfId="0" applyProtection="1" applyAlignment="1">
      <alignment horizontal="right" vertical="center"/>
    </xf>
    <xf numFmtId="0" applyNumberFormat="1" fontId="20" applyFont="1" fillId="0" applyFill="1" borderId="0" applyBorder="1" xfId="0" applyProtection="1"/>
    <xf numFmtId="0" applyNumberFormat="1" fontId="28" applyFont="1" fillId="0" applyFill="1" borderId="0" applyBorder="1" xfId="0" applyProtection="1" applyAlignment="1">
      <alignment horizontal="center" vertical="center"/>
    </xf>
    <xf numFmtId="0" applyNumberFormat="1" fontId="0" applyFont="1" fillId="0" applyFill="1" borderId="0" applyBorder="1" xfId="0" applyProtection="1" applyAlignment="1">
      <alignment horizontal="center" vertical="center"/>
    </xf>
    <xf numFmtId="0" applyNumberFormat="1" fontId="29" applyFont="1" fillId="0" applyFill="1" borderId="0" applyBorder="1" xfId="0" applyProtection="1" applyAlignment="1">
      <alignment horizontal="center" vertical="center"/>
    </xf>
    <xf numFmtId="0" applyNumberFormat="1" fontId="30" applyFont="1" fillId="0" applyFill="1" borderId="0" applyBorder="1" xfId="0" applyProtection="1" applyAlignment="1">
      <alignment horizontal="center" vertical="center"/>
    </xf>
    <xf numFmtId="0" applyNumberFormat="1" fontId="30" applyFont="1" fillId="0" applyFill="1" borderId="0" applyBorder="1" xfId="0" applyProtection="1" applyAlignment="1">
      <alignment horizontal="left" vertical="center" wrapText="1"/>
    </xf>
    <xf numFmtId="0" applyNumberFormat="1" fontId="20" applyFont="1" fillId="0" applyFill="1" borderId="0" applyBorder="1" xfId="0" applyProtection="1" applyAlignment="1">
      <alignment horizontal="center" vertical="center"/>
    </xf>
    <xf numFmtId="0" applyNumberFormat="1" fontId="33" applyFont="1" fillId="0" applyFill="1" borderId="0" applyBorder="1" xfId="0" applyProtection="1"/>
    <xf numFmtId="0" applyNumberFormat="1" fontId="32" applyFont="1" fillId="0" applyFill="1" borderId="0" applyBorder="1" xfId="0" applyProtection="1" applyAlignment="1">
      <alignment horizontal="right" vertical="center"/>
    </xf>
    <xf numFmtId="0" applyNumberFormat="1" fontId="32" applyFont="1" fillId="0" applyFill="1" borderId="0" applyBorder="1" xfId="0" applyProtection="1" applyAlignment="1">
      <alignment horizontal="center" vertical="center"/>
    </xf>
    <xf numFmtId="0" applyNumberFormat="1" fontId="33" applyFont="1" fillId="0" applyFill="1" borderId="0" applyBorder="1" xfId="0" applyProtection="1" applyAlignment="1">
      <alignment horizontal="center" vertical="center"/>
    </xf>
    <xf numFmtId="0" applyNumberFormat="1" fontId="34" applyFont="1" fillId="0" applyFill="1" borderId="0" applyBorder="1" xfId="0" applyProtection="1" applyAlignment="1">
      <alignment horizontal="left" vertical="center" wrapText="1"/>
    </xf>
    <xf numFmtId="0" applyNumberFormat="1" fontId="32" applyFont="1" fillId="0" applyFill="1" borderId="0" applyBorder="1" xfId="0" applyProtection="1" applyAlignment="1">
      <alignment horizontal="left" vertical="center" wrapText="1"/>
    </xf>
    <xf numFmtId="0" applyNumberFormat="1" fontId="31" applyFont="1" fillId="0" applyFill="1" borderId="0" applyBorder="1" xfId="0" applyProtection="1" applyAlignment="1">
      <alignment horizontal="right" vertical="center"/>
    </xf>
    <xf numFmtId="0" applyNumberFormat="1" fontId="31" applyFont="1" fillId="0" applyFill="1" borderId="0" applyBorder="1" xfId="0" applyProtection="1" applyAlignment="1">
      <alignment horizontal="center" vertical="center"/>
    </xf>
    <xf numFmtId="0" applyNumberFormat="1" fontId="31" applyFont="1" fillId="0" applyFill="1" borderId="0" applyBorder="1" xfId="0" applyProtection="1" applyAlignment="1">
      <alignment horizontal="left" vertical="center" wrapText="1"/>
    </xf>
    <xf numFmtId="0" applyNumberFormat="1" fontId="31" applyFont="1" fillId="0" applyFill="1" borderId="0" applyBorder="1" xfId="0" applyProtection="1" applyAlignment="1">
      <alignment vertical="center" wrapText="1"/>
    </xf>
    <xf numFmtId="0" applyNumberFormat="1" fontId="15" applyFont="1" fillId="0" applyFill="1" borderId="0" applyBorder="1" xfId="0" applyProtection="1" applyAlignment="1">
      <alignment horizontal="right" vertical="center"/>
    </xf>
    <xf numFmtId="0" applyNumberFormat="1" fontId="15" applyFont="1" fillId="0" applyFill="1" borderId="0" applyBorder="1" xfId="0" applyProtection="1" applyAlignment="1">
      <alignment horizontal="center" vertical="center"/>
    </xf>
    <xf numFmtId="0" applyNumberFormat="1" fontId="15" applyFont="1" fillId="0" applyFill="1" borderId="0" applyBorder="1" xfId="0" applyProtection="1" applyAlignment="1">
      <alignment horizontal="left" vertical="center" wrapText="1"/>
    </xf>
    <xf numFmtId="0" applyNumberFormat="1" fontId="31" applyFont="1" fillId="0" applyFill="1" borderId="0" applyBorder="1" xfId="0" applyProtection="1" applyAlignment="1">
      <alignment horizontal="left" vertical="center" wrapText="1"/>
    </xf>
    <xf numFmtId="0" applyNumberFormat="1" fontId="15" applyFont="1" fillId="0" applyFill="1" borderId="0" applyBorder="1" xfId="0" applyProtection="1" applyAlignment="1">
      <alignment horizontal="center" vertical="center"/>
    </xf>
    <xf numFmtId="0" applyNumberFormat="1" fontId="15" applyFont="1" fillId="0" applyFill="1" borderId="0" applyBorder="1" xfId="0" applyProtection="1" applyAlignment="1">
      <alignment horizontal="right" vertical="center"/>
    </xf>
    <xf numFmtId="0" applyNumberFormat="1" fontId="15" applyFont="1" fillId="0" applyFill="1" borderId="0" applyBorder="1" xfId="0" applyProtection="1" applyAlignment="1">
      <alignment horizontal="center" vertical="center"/>
    </xf>
    <xf numFmtId="0" applyNumberFormat="1" fontId="0" applyFont="1" fillId="0" applyFill="1" borderId="0" applyBorder="1" xfId="0" applyProtection="1" applyAlignment="1">
      <alignment horizontal="center" vertical="center"/>
    </xf>
    <xf numFmtId="0" applyNumberFormat="1" fontId="15" applyFont="1" fillId="0" applyFill="1" borderId="0" applyBorder="1" xfId="0" applyProtection="1" applyAlignment="1">
      <alignment horizontal="left" vertical="center" wrapText="1"/>
    </xf>
    <xf numFmtId="0" applyNumberFormat="1" fontId="0" applyFont="1" fillId="0" applyFill="1" borderId="0" applyBorder="1" xfId="0" applyProtection="1"/>
    <xf numFmtId="0" applyNumberFormat="1" fontId="35" applyFont="1" fillId="0" applyFill="1" borderId="0" applyBorder="1" xfId="0" applyProtection="1" applyAlignment="1">
      <alignment horizontal="left" vertical="center" wrapText="1"/>
    </xf>
    <xf numFmtId="0" applyNumberFormat="1" fontId="0" applyFont="1" fillId="10" applyFill="1" borderId="1" applyBorder="1" xfId="0" applyProtection="1" applyAlignment="1">
      <alignment horizontal="center" vertical="center"/>
    </xf>
    <xf numFmtId="0" applyNumberFormat="1" fontId="0" applyFont="1" fillId="10" applyFill="1" borderId="1" applyBorder="1" xfId="0" applyProtection="1"/>
    <xf numFmtId="0" applyNumberFormat="1" fontId="0" applyFont="1" fillId="10" applyFill="1" borderId="0" applyBorder="1" xfId="0" applyProtection="1"/>
    <xf numFmtId="0" applyNumberFormat="1" fontId="36" applyFont="1" fillId="0" applyFill="1" borderId="0" applyBorder="1" xfId="0" applyProtection="1">
      <alignment wrapText="1"/>
    </xf>
    <xf numFmtId="0" applyNumberFormat="1" fontId="37" applyFont="1" fillId="0" applyFill="1" borderId="1" applyBorder="1" xfId="5" applyProtection="1" applyAlignment="1">
      <alignment horizontal="left" wrapText="1"/>
    </xf>
    <xf numFmtId="0" applyNumberFormat="1" fontId="1" applyFont="1" fillId="0" applyFill="1" borderId="1" applyBorder="1" xfId="0" applyProtection="1" applyAlignment="1">
      <alignment horizontal="left" vertical="top" wrapText="1"/>
    </xf>
    <xf numFmtId="0" applyNumberFormat="1" fontId="0" applyFont="1" fillId="0" applyFill="1" borderId="0" applyBorder="1" xfId="0" applyProtection="1"/>
    <xf numFmtId="0" applyNumberFormat="1" fontId="0" applyFont="1" fillId="10" applyFill="1" borderId="1" applyBorder="1" xfId="0" applyProtection="1"/>
    <xf numFmtId="0" applyNumberFormat="1" fontId="0" applyFont="1" fillId="0" applyFill="1" borderId="1" applyBorder="1" xfId="0" applyProtection="1"/>
    <xf numFmtId="0" applyNumberFormat="1" fontId="39" applyFont="1" fillId="0" applyFill="1" borderId="1" applyBorder="1" xfId="5" applyProtection="1" applyAlignment="1">
      <alignment horizontal="left" wrapText="1"/>
    </xf>
    <xf numFmtId="0" applyNumberFormat="1" fontId="40" applyFont="1" fillId="0" applyFill="1" borderId="1" applyBorder="1" xfId="5" applyProtection="1" applyAlignment="1">
      <alignment horizontal="left" wrapText="1"/>
    </xf>
    <xf numFmtId="0" applyNumberFormat="1" fontId="41" applyFont="1" fillId="0" applyFill="1" borderId="1" applyBorder="1" xfId="5" applyProtection="1" applyAlignment="1">
      <alignment horizontal="left" wrapText="1"/>
    </xf>
    <xf numFmtId="0" applyNumberFormat="1" fontId="0" applyFont="1" fillId="0" applyFill="1" borderId="0" applyBorder="1" xfId="12" applyProtection="1"/>
    <xf numFmtId="0" applyNumberFormat="1" fontId="0" applyFont="1" fillId="0" applyFill="1" borderId="0" applyBorder="1" xfId="12" applyProtection="1" applyAlignment="1">
      <alignment horizontal="center" vertical="center"/>
    </xf>
    <xf numFmtId="0" applyNumberFormat="1" fontId="0" applyFont="1" fillId="0" applyFill="1" borderId="0" applyBorder="1" xfId="12" applyProtection="1" applyAlignment="1">
      <alignment horizontal="right"/>
    </xf>
    <xf numFmtId="0" applyNumberFormat="1" fontId="0" applyFont="1" fillId="17" applyFill="1" borderId="1" applyBorder="1" xfId="12" applyProtection="1"/>
    <xf numFmtId="0" applyNumberFormat="1" fontId="0" applyFont="1" fillId="0" applyFill="1" borderId="1" applyBorder="1" xfId="12" applyProtection="1" applyAlignment="1">
      <alignment horizontal="left" vertical="top"/>
    </xf>
    <xf numFmtId="0" applyNumberFormat="1" fontId="0" applyFont="1" fillId="0" applyFill="1" borderId="1" applyBorder="1" xfId="12" applyProtection="1" applyAlignment="1">
      <alignment horizontal="center" vertical="center"/>
    </xf>
    <xf numFmtId="0" applyNumberFormat="1" fontId="0" applyFont="1" fillId="17" applyFill="1" borderId="1" applyBorder="1" xfId="12" applyProtection="1" applyAlignment="1">
      <alignment horizontal="right"/>
    </xf>
    <xf numFmtId="0" applyNumberFormat="1" fontId="0" applyFont="1" fillId="0" applyFill="1" borderId="1" applyBorder="1" xfId="12" applyProtection="1"/>
    <xf numFmtId="0" applyNumberFormat="1" fontId="1" applyFont="1" fillId="0" applyFill="1" borderId="1" applyBorder="1" xfId="12" applyProtection="1" applyAlignment="1">
      <alignment horizontal="left" vertical="top" wrapText="1"/>
    </xf>
    <xf numFmtId="0" applyNumberFormat="1" fontId="43" applyFont="1" fillId="0" applyFill="1" borderId="1" applyBorder="1" xfId="12" applyProtection="1" applyAlignment="1">
      <alignment horizontal="left" vertical="top" wrapText="1"/>
    </xf>
    <xf numFmtId="0" applyNumberFormat="1" fontId="0" applyFont="1" fillId="0" applyFill="1" borderId="1" applyBorder="1" xfId="12" applyProtection="1" applyAlignment="1">
      <alignment horizontal="right"/>
    </xf>
    <xf numFmtId="0" applyNumberFormat="1" fontId="1" applyFont="1" fillId="0" applyFill="1" borderId="1" applyBorder="1" xfId="12" applyProtection="1" applyAlignment="1">
      <alignment horizontal="center" vertical="top" wrapText="1"/>
    </xf>
    <xf numFmtId="0" applyNumberFormat="1" fontId="44" applyFont="1" fillId="0" applyFill="1" borderId="1" applyBorder="1" xfId="12" applyProtection="1" applyAlignment="1">
      <alignment horizontal="left" vertical="top" wrapText="1"/>
    </xf>
    <xf numFmtId="0" applyNumberFormat="1" fontId="0" applyFont="1" fillId="17" applyFill="1" borderId="1" applyBorder="1" xfId="12" applyProtection="1" applyAlignment="1">
      <alignment horizontal="center"/>
    </xf>
    <xf numFmtId="0" applyNumberFormat="1" fontId="0" applyFont="1" fillId="0" applyFill="1" borderId="1" applyBorder="1" xfId="12" applyProtection="1" applyAlignment="1">
      <alignment vertical="center"/>
    </xf>
    <xf numFmtId="0" applyNumberFormat="1" fontId="43" applyFont="1" fillId="9" applyFill="1" borderId="1" applyBorder="1" xfId="12" applyProtection="1" applyAlignment="1">
      <alignment horizontal="left" vertical="top" wrapText="1"/>
    </xf>
    <xf numFmtId="0" applyNumberFormat="1" fontId="1" applyFont="1" fillId="9" applyFill="1" borderId="1" applyBorder="1" xfId="12" applyProtection="1" applyAlignment="1">
      <alignment horizontal="left" vertical="top" wrapText="1"/>
    </xf>
    <xf numFmtId="0" applyNumberFormat="1" fontId="20" applyFont="1" fillId="0" applyFill="1" borderId="1" applyBorder="1" xfId="12" applyProtection="1"/>
    <xf numFmtId="0" applyNumberFormat="1" fontId="0" applyFont="1" fillId="9" applyFill="1" borderId="1" applyBorder="1" xfId="12" applyProtection="1" applyAlignment="1">
      <alignment horizontal="right"/>
    </xf>
    <xf numFmtId="0" applyNumberFormat="1" fontId="0" applyFont="1" fillId="0" applyFill="1" borderId="1" applyBorder="1" xfId="7" applyProtection="1"/>
    <xf numFmtId="0" applyNumberFormat="1" fontId="0" applyFont="1" fillId="0" applyFill="1" borderId="1" applyBorder="1" xfId="7" applyProtection="1" applyAlignment="1">
      <alignment horizontal="center" vertical="center"/>
    </xf>
    <xf numFmtId="0" applyNumberFormat="1" fontId="0" applyFont="1" fillId="0" applyFill="1" borderId="0" applyBorder="1" xfId="7" applyProtection="1"/>
    <xf numFmtId="0" applyNumberFormat="1" fontId="42" applyFont="1" fillId="0" applyFill="1" borderId="1" applyBorder="1" xfId="7" applyProtection="1"/>
    <xf numFmtId="0" applyNumberFormat="1" fontId="0" applyFont="1" fillId="0" applyFill="1" borderId="1" applyBorder="1" xfId="7" applyProtection="1" applyAlignment="1">
      <alignment horizontal="left" vertical="top"/>
    </xf>
    <xf numFmtId="0" applyNumberFormat="1" fontId="0" applyFont="1" fillId="0" applyFill="1" borderId="1" applyBorder="1" xfId="7" applyProtection="1" applyAlignment="1">
      <alignment horizontal="right"/>
    </xf>
    <xf numFmtId="0" applyNumberFormat="1" fontId="20" applyFont="1" fillId="0" applyFill="1" borderId="1" applyBorder="1" xfId="7" applyProtection="1"/>
    <xf numFmtId="0" applyNumberFormat="1" fontId="0" applyFont="1" fillId="0" applyFill="1" borderId="1" applyBorder="1" xfId="7" applyProtection="1" applyAlignment="1">
      <alignment horizontal="right" vertical="center"/>
    </xf>
    <xf numFmtId="0" applyNumberFormat="1" fontId="0" applyFont="1" fillId="0" applyFill="1" borderId="1" applyBorder="1" xfId="12" applyProtection="1" applyAlignment="1">
      <alignment horizontal="right" vertical="center"/>
    </xf>
    <xf numFmtId="0" applyNumberFormat="1" fontId="0" applyFont="1" fillId="0" applyFill="1" borderId="1" applyBorder="1" xfId="12" applyProtection="1" applyAlignment="1">
      <alignment horizontal="left" vertical="center"/>
    </xf>
    <xf numFmtId="0" applyNumberFormat="1" fontId="0" applyFont="1" fillId="0" applyFill="1" borderId="1" applyBorder="1" xfId="12" applyProtection="1" applyAlignment="1">
      <alignment horizontal="left"/>
    </xf>
    <xf numFmtId="0" applyNumberFormat="1" fontId="0" applyFont="1" fillId="0" applyFill="1" borderId="0" applyBorder="1" xfId="12" applyProtection="1" applyAlignment="1">
      <alignment horizontal="left" vertical="top"/>
    </xf>
    <xf numFmtId="0" applyNumberFormat="1" fontId="0" applyFont="1" fillId="0" applyFill="1" borderId="1" applyBorder="1" xfId="12" applyProtection="1" applyAlignment="1">
      <alignment horizontal="left" vertical="center" wrapText="1"/>
    </xf>
    <xf numFmtId="0" applyNumberFormat="1" fontId="0" applyFont="1" fillId="6" applyFill="1" borderId="1" applyBorder="1" xfId="12" applyProtection="1" applyAlignment="1">
      <alignment horizontal="right" vertical="center"/>
    </xf>
    <xf numFmtId="0" applyNumberFormat="1" fontId="0" applyFont="1" fillId="0" applyFill="1" borderId="1" applyBorder="1" xfId="12" applyProtection="1">
      <alignment wrapText="1"/>
    </xf>
    <xf numFmtId="0" applyNumberFormat="1" fontId="45" applyFont="1" fillId="0" applyFill="1" borderId="1" applyBorder="1" xfId="12" applyProtection="1" applyAlignment="1">
      <alignment vertical="top" wrapText="1"/>
    </xf>
    <xf numFmtId="0" applyNumberFormat="1" fontId="5" applyFont="1" fillId="2" applyFill="1" borderId="1" applyBorder="1" xfId="12" applyProtection="1" applyAlignment="1">
      <alignment horizontal="center" vertical="center"/>
    </xf>
    <xf numFmtId="0" applyNumberFormat="1" fontId="5" applyFont="1" fillId="10" applyFill="1" borderId="1" applyBorder="1" xfId="0" applyProtection="1" applyAlignment="1">
      <alignment horizontal="center"/>
    </xf>
    <xf numFmtId="0" applyNumberFormat="1" fontId="5" applyFont="1" fillId="10" applyFill="1" borderId="6" applyBorder="1" xfId="0" applyProtection="1" applyAlignment="1">
      <alignment horizontal="left" vertical="center"/>
    </xf>
    <xf numFmtId="0" applyNumberFormat="1" fontId="5" applyFont="1" fillId="10" applyFill="1" borderId="1" applyBorder="1" xfId="0" applyProtection="1" applyAlignment="1">
      <alignment horizontal="center" wrapText="1"/>
    </xf>
    <xf numFmtId="0" applyNumberFormat="1" fontId="5" applyFont="1" fillId="10" applyFill="1" borderId="28" applyBorder="1" xfId="0" applyProtection="1" applyAlignment="1">
      <alignment horizontal="center"/>
    </xf>
    <xf numFmtId="49" applyNumberFormat="1" fontId="5" applyFont="1" fillId="10" applyFill="1" borderId="1" applyBorder="1" xfId="0" applyProtection="1" applyAlignment="1">
      <alignment horizontal="center"/>
    </xf>
    <xf numFmtId="0" applyNumberFormat="1" fontId="5" applyFont="1" fillId="0" applyFill="1" borderId="1" applyBorder="1" xfId="0" applyProtection="1" applyAlignment="1">
      <alignment horizontal="center"/>
    </xf>
    <xf numFmtId="0" applyNumberFormat="1" fontId="5" applyFont="1" fillId="0" applyFill="1" borderId="1" applyBorder="1" xfId="0" applyProtection="1" applyAlignment="1">
      <alignment horizontal="center" wrapText="1"/>
    </xf>
    <xf numFmtId="0" applyNumberFormat="1" fontId="5" applyFont="1" fillId="0" applyFill="1" borderId="28" applyBorder="1" xfId="0" applyProtection="1" applyAlignment="1">
      <alignment horizontal="center"/>
    </xf>
    <xf numFmtId="0" applyNumberFormat="1" fontId="5" applyFont="1" fillId="0" applyFill="1" borderId="28" applyBorder="1" xfId="0" applyProtection="1" applyAlignment="1">
      <alignment horizontal="left" vertical="center"/>
    </xf>
    <xf numFmtId="49" applyNumberFormat="1" fontId="5" applyFont="1" fillId="0" applyFill="1" borderId="1" applyBorder="1" xfId="0" applyProtection="1" applyAlignment="1">
      <alignment horizontal="center"/>
    </xf>
    <xf numFmtId="49" applyNumberFormat="1" fontId="5" applyFont="1" fillId="0" applyFill="1" borderId="1" applyBorder="1" xfId="0" applyProtection="1" applyAlignment="1">
      <alignment horizontal="left" vertical="center"/>
    </xf>
    <xf numFmtId="0" applyNumberFormat="1" fontId="38" applyFont="1" fillId="10" applyFill="1" borderId="1" applyBorder="1" xfId="0" applyProtection="1" applyAlignment="1">
      <alignment vertical="center"/>
    </xf>
    <xf numFmtId="0" applyNumberFormat="1" fontId="5" applyFont="1" fillId="0" applyFill="1" borderId="6" applyBorder="1" xfId="0" applyProtection="1" applyAlignment="1">
      <alignment vertical="center"/>
    </xf>
    <xf numFmtId="0" applyNumberFormat="1" fontId="5" applyFont="1" fillId="0" applyFill="1" borderId="1" applyBorder="1" xfId="0" applyProtection="1" applyAlignment="1">
      <alignment horizontal="center" vertical="center"/>
    </xf>
    <xf numFmtId="0" applyNumberFormat="1" fontId="0" applyFont="1" fillId="10" applyFill="1" borderId="1" applyBorder="1" xfId="0" applyProtection="1" applyAlignment="1">
      <alignment vertical="center"/>
    </xf>
    <xf numFmtId="0" applyNumberFormat="1" fontId="0" applyFont="1" fillId="10" applyFill="1" borderId="1" applyBorder="1" xfId="0" applyProtection="1" applyAlignment="1">
      <alignment horizontal="left" vertical="center"/>
    </xf>
    <xf numFmtId="0" applyNumberFormat="1" fontId="0" applyFont="1" fillId="0" applyFill="1" borderId="1" applyBorder="1" xfId="0" applyProtection="1" applyAlignment="1">
      <alignment horizontal="left" vertical="center"/>
    </xf>
    <xf numFmtId="0" applyNumberFormat="1" fontId="47" applyFont="1" fillId="0" applyFill="1" borderId="1" applyBorder="1" xfId="0" applyProtection="1"/>
    <xf numFmtId="0" applyNumberFormat="1" fontId="0" applyFont="1" fillId="14" applyFill="1" borderId="1" applyBorder="1" xfId="0" applyProtection="1" applyAlignment="1">
      <alignment horizontal="center" vertical="center"/>
    </xf>
    <xf numFmtId="0" applyNumberFormat="1" fontId="0" applyFont="1" fillId="14" applyFill="1" borderId="1" applyBorder="1" xfId="0" applyProtection="1" applyAlignment="1">
      <alignment vertical="center"/>
    </xf>
    <xf numFmtId="0" applyNumberFormat="1" fontId="0" applyFont="1" fillId="14" applyFill="1" borderId="1" applyBorder="1" xfId="0" applyProtection="1"/>
    <xf numFmtId="0" applyNumberFormat="1" fontId="37" applyFont="1" fillId="14" applyFill="1" borderId="1" applyBorder="1" xfId="5" applyProtection="1" applyAlignment="1">
      <alignment horizontal="left" wrapText="1"/>
    </xf>
    <xf numFmtId="0" applyNumberFormat="1" fontId="40" applyFont="1" fillId="14" applyFill="1" borderId="1" applyBorder="1" xfId="5" applyProtection="1" applyAlignment="1">
      <alignment horizontal="left" wrapText="1"/>
    </xf>
    <xf numFmtId="0" applyNumberFormat="1" fontId="0" applyFont="1" fillId="17" applyFill="1" borderId="1" applyBorder="1" xfId="12" applyProtection="1" applyAlignment="1">
      <alignment horizontal="right"/>
    </xf>
    <xf numFmtId="0" applyNumberFormat="1" fontId="0" applyFont="1" fillId="17" applyFill="1" borderId="1" applyBorder="1" xfId="12" applyProtection="1" applyAlignment="1">
      <alignment horizontal="center" vertical="center"/>
    </xf>
    <xf numFmtId="0" applyNumberFormat="1" fontId="0" applyFont="1" fillId="17" applyFill="1" borderId="1" applyBorder="1" xfId="12" applyProtection="1"/>
    <xf numFmtId="0" applyNumberFormat="1" fontId="1" applyFont="1" fillId="0" applyFill="1" borderId="1" applyBorder="1" xfId="12" applyProtection="1" applyAlignment="1">
      <alignment horizontal="center" vertical="top" wrapText="1"/>
    </xf>
    <xf numFmtId="0" applyNumberFormat="1" fontId="43" applyFont="1" fillId="0" applyFill="1" borderId="1" applyBorder="1" xfId="12" applyProtection="1" applyAlignment="1">
      <alignment horizontal="left" vertical="top" wrapText="1"/>
    </xf>
    <xf numFmtId="0" applyNumberFormat="1" fontId="1" applyFont="1" fillId="0" applyFill="1" borderId="1" applyBorder="1" xfId="12" applyProtection="1" applyAlignment="1">
      <alignment horizontal="left" vertical="top" wrapText="1"/>
    </xf>
    <xf numFmtId="0" applyNumberFormat="1" fontId="0" applyFont="1" fillId="0" applyFill="1" borderId="1" applyBorder="1" xfId="12" applyProtection="1"/>
    <xf numFmtId="0" applyNumberFormat="1" fontId="44" applyFont="1" fillId="0" applyFill="1" borderId="1" applyBorder="1" xfId="12" applyProtection="1" applyAlignment="1">
      <alignment horizontal="left" vertical="top" wrapText="1"/>
    </xf>
    <xf numFmtId="0" applyNumberFormat="1" fontId="0" applyFont="1" fillId="0" applyFill="1" borderId="1" applyBorder="1" xfId="12" applyProtection="1" applyAlignment="1">
      <alignment horizontal="center" vertical="center"/>
    </xf>
    <xf numFmtId="0" applyNumberFormat="1" fontId="0" applyFont="1" fillId="14" applyFill="1" borderId="1" applyBorder="1" xfId="0" applyProtection="1" applyAlignment="1">
      <alignment horizontal="left" vertical="center"/>
    </xf>
    <xf numFmtId="166" applyNumberFormat="1" fontId="3" applyFont="1" fillId="0" applyFill="1" borderId="30" applyBorder="1" xfId="4" applyProtection="1" applyAlignment="1">
      <alignment horizontal="center" vertical="center"/>
    </xf>
    <xf numFmtId="14" applyNumberFormat="1" fontId="3" applyFont="1" fillId="0" applyFill="1" borderId="30" applyBorder="1" xfId="4" applyProtection="1" applyAlignment="1">
      <alignment horizontal="center" vertical="center"/>
    </xf>
    <xf numFmtId="0" applyNumberFormat="1" fontId="3" applyFont="1" fillId="0" applyFill="1" borderId="30" applyBorder="1" xfId="4" applyProtection="1" applyAlignment="1">
      <alignment horizontal="center" vertical="center"/>
    </xf>
    <xf numFmtId="0" applyNumberFormat="1" fontId="3" applyFont="1" fillId="0" applyFill="1" borderId="1" applyBorder="1" xfId="6" applyProtection="1"/>
    <xf numFmtId="0" applyNumberFormat="1" fontId="49" applyFont="1" fillId="0" applyFill="1" borderId="1" applyBorder="1" xfId="4" applyProtection="1" applyAlignment="1">
      <alignment horizontal="left" vertical="center" wrapText="1"/>
    </xf>
    <xf numFmtId="0" applyNumberFormat="1" fontId="0" applyFont="1" fillId="21" applyFill="1" borderId="1" applyBorder="1" xfId="0" applyProtection="1" applyAlignment="1">
      <alignment horizontal="center" vertical="center"/>
    </xf>
    <xf numFmtId="0" applyNumberFormat="1" fontId="0" applyFont="1" fillId="21" applyFill="1" borderId="1" applyBorder="1" xfId="0" applyProtection="1" applyAlignment="1">
      <alignment vertical="center"/>
    </xf>
    <xf numFmtId="0" applyNumberFormat="1" fontId="0" applyFont="1" fillId="21" applyFill="1" borderId="1" applyBorder="1" xfId="0" applyProtection="1"/>
    <xf numFmtId="0" applyNumberFormat="1" fontId="37" applyFont="1" fillId="21" applyFill="1" borderId="1" applyBorder="1" xfId="5" applyProtection="1" applyAlignment="1">
      <alignment horizontal="left" wrapText="1"/>
    </xf>
    <xf numFmtId="0" applyNumberFormat="1" fontId="0" applyFont="1" fillId="21" applyFill="1" borderId="1" applyBorder="1" xfId="0" applyProtection="1">
      <alignment wrapText="1"/>
    </xf>
    <xf numFmtId="0" applyNumberFormat="1" fontId="40" applyFont="1" fillId="21" applyFill="1" borderId="1" applyBorder="1" xfId="5" applyProtection="1" applyAlignment="1">
      <alignment horizontal="left" wrapText="1"/>
    </xf>
    <xf numFmtId="0" applyNumberFormat="1" fontId="0" applyFont="1" fillId="21" applyFill="1" borderId="0" applyBorder="1" xfId="0" applyProtection="1"/>
    <xf numFmtId="0" applyNumberFormat="1" fontId="50" applyFont="1" fillId="0" applyFill="1" borderId="1" applyBorder="1" xfId="3" applyProtection="1" applyAlignment="1">
      <alignment horizontal="left" vertical="center" wrapText="1"/>
    </xf>
    <xf numFmtId="0" applyNumberFormat="1" fontId="39" applyFont="1" fillId="14" applyFill="1" borderId="1" applyBorder="1" xfId="5" applyProtection="1" applyAlignment="1">
      <alignment horizontal="left" wrapText="1"/>
    </xf>
    <xf numFmtId="49" applyNumberFormat="1" fontId="46" applyFont="1" fillId="0" applyFill="1" borderId="1" applyBorder="1" xfId="0" applyProtection="1" applyAlignment="1">
      <alignment horizontal="left" vertical="center"/>
    </xf>
    <xf numFmtId="0" applyNumberFormat="1" fontId="47" applyFont="1" fillId="0" applyFill="1" borderId="1" applyBorder="1" xfId="0" applyProtection="1" applyAlignment="1">
      <alignment horizontal="left" vertical="center"/>
    </xf>
    <xf numFmtId="49" applyNumberFormat="1" fontId="46" applyFont="1" fillId="0" applyFill="1" borderId="1" applyBorder="1" xfId="0" applyProtection="1" applyAlignment="1">
      <alignment horizontal="left" vertical="center"/>
    </xf>
    <xf numFmtId="0" applyNumberFormat="1" fontId="5" applyFont="1" fillId="18" applyFill="1" borderId="1" applyBorder="1" xfId="0" applyProtection="1" applyAlignment="1">
      <alignment horizontal="center"/>
    </xf>
    <xf numFmtId="0" applyNumberFormat="1" fontId="46" applyFont="1" fillId="18" applyFill="1" borderId="1" applyBorder="1" xfId="0" applyProtection="1" applyAlignment="1">
      <alignment horizontal="center"/>
    </xf>
    <xf numFmtId="0" applyNumberFormat="1" fontId="5" applyFont="1" fillId="19" applyFill="1" borderId="1" applyBorder="1" xfId="0" applyProtection="1" applyAlignment="1">
      <alignment horizontal="center"/>
    </xf>
    <xf numFmtId="0" applyNumberFormat="1" fontId="46" applyFont="1" fillId="19" applyFill="1" borderId="1" applyBorder="1" xfId="0" applyProtection="1" applyAlignment="1">
      <alignment horizontal="center"/>
    </xf>
    <xf numFmtId="0" applyNumberFormat="1" fontId="0" applyFont="1" fillId="18" applyFill="1" borderId="1" applyBorder="1" xfId="0" applyProtection="1"/>
    <xf numFmtId="0" applyNumberFormat="1" fontId="47" applyFont="1" fillId="18" applyFill="1" borderId="1" applyBorder="1" xfId="0" applyProtection="1"/>
    <xf numFmtId="0" applyNumberFormat="1" fontId="0" applyFont="1" fillId="19" applyFill="1" borderId="1" applyBorder="1" xfId="0" applyProtection="1"/>
    <xf numFmtId="0" applyNumberFormat="1" fontId="51" applyFont="1" fillId="19" applyFill="1" borderId="1" applyBorder="1" xfId="0" applyProtection="1"/>
    <xf numFmtId="0" applyNumberFormat="1" fontId="47" applyFont="1" fillId="19" applyFill="1" borderId="1" applyBorder="1" xfId="0" applyProtection="1"/>
    <xf numFmtId="0" applyNumberFormat="1" fontId="0" applyFont="1" fillId="22" applyFill="1" borderId="1" applyBorder="1" xfId="0" applyProtection="1"/>
    <xf numFmtId="0" applyNumberFormat="1" fontId="51" applyFont="1" fillId="22" applyFill="1" borderId="1" applyBorder="1" xfId="0" applyProtection="1"/>
    <xf numFmtId="0" applyNumberFormat="1" fontId="48" applyFont="1" fillId="20" applyFill="1" borderId="1" applyBorder="1" xfId="0" applyProtection="1" applyAlignment="1">
      <alignment horizontal="center" vertical="center" wrapText="1"/>
    </xf>
    <xf numFmtId="0" applyNumberFormat="1" fontId="47" applyFont="1" fillId="23" applyFill="1" borderId="1" applyBorder="1" xfId="0" applyProtection="1"/>
    <xf numFmtId="0" applyNumberFormat="1" fontId="25" applyFont="1" fillId="0" applyFill="1" borderId="0" applyBorder="1" xfId="6" applyProtection="1" applyAlignment="1">
      <alignment horizontal="center"/>
    </xf>
    <xf numFmtId="0" applyNumberFormat="1" fontId="4" applyFont="1" fillId="0" applyFill="1" borderId="0" applyBorder="1" xfId="3" applyProtection="1" applyAlignment="1">
      <alignment horizontal="left" vertical="center" wrapText="1"/>
    </xf>
    <xf numFmtId="0" applyNumberFormat="1" fontId="4" applyFont="1" fillId="0" applyFill="1" borderId="2" applyBorder="1" xfId="3" applyProtection="1" applyAlignment="1">
      <alignment horizontal="left" vertical="center" wrapText="1"/>
    </xf>
    <xf numFmtId="166" applyNumberFormat="1" fontId="3" applyFont="1" fillId="0" applyFill="1" borderId="30" applyBorder="1" xfId="3" applyProtection="1" applyAlignment="1">
      <alignment horizontal="center" vertical="center"/>
    </xf>
    <xf numFmtId="166" applyNumberFormat="1" fontId="3" applyFont="1" fillId="0" applyFill="1" borderId="28" applyBorder="1" xfId="3" applyProtection="1" applyAlignment="1">
      <alignment horizontal="center" vertical="center"/>
    </xf>
    <xf numFmtId="0" applyNumberFormat="1" fontId="3" applyFont="1" fillId="0" applyFill="1" borderId="30" applyBorder="1" xfId="3" applyProtection="1" applyAlignment="1">
      <alignment horizontal="center" vertical="center" wrapText="1"/>
    </xf>
    <xf numFmtId="0" applyNumberFormat="1" fontId="3" applyFont="1" fillId="0" applyFill="1" borderId="28" applyBorder="1" xfId="3" applyProtection="1" applyAlignment="1">
      <alignment horizontal="center" vertical="center"/>
    </xf>
    <xf numFmtId="14" applyNumberFormat="1" fontId="3" applyFont="1" fillId="0" applyFill="1" borderId="30" applyBorder="1" xfId="3" applyProtection="1" applyAlignment="1">
      <alignment horizontal="center" vertical="center"/>
    </xf>
    <xf numFmtId="14" applyNumberFormat="1" fontId="3" applyFont="1" fillId="0" applyFill="1" borderId="28" applyBorder="1" xfId="3" applyProtection="1" applyAlignment="1">
      <alignment horizontal="center" vertical="center"/>
    </xf>
    <xf numFmtId="0" applyNumberFormat="1" fontId="3" applyFont="1" fillId="0" applyFill="1" borderId="30" applyBorder="1" xfId="3" applyProtection="1" applyAlignment="1">
      <alignment horizontal="center" vertical="center"/>
    </xf>
    <xf numFmtId="0" applyNumberFormat="1" fontId="3" applyFont="1" fillId="5" applyFill="1" borderId="23" applyBorder="1" xfId="6" applyProtection="1" applyAlignment="1">
      <alignment horizontal="left" vertical="top"/>
    </xf>
    <xf numFmtId="0" applyNumberFormat="1" fontId="3" applyFont="1" fillId="5" applyFill="1" borderId="6" applyBorder="1" xfId="6" applyProtection="1" applyAlignment="1">
      <alignment horizontal="left" vertical="top"/>
    </xf>
    <xf numFmtId="0" applyNumberFormat="1" fontId="3" applyFont="1" fillId="5" applyFill="1" borderId="25" applyBorder="1" xfId="6" applyProtection="1" applyAlignment="1">
      <alignment horizontal="left" vertical="top"/>
    </xf>
    <xf numFmtId="0" applyNumberFormat="1" fontId="3" applyFont="1" fillId="5" applyFill="1" borderId="42" applyBorder="1" xfId="6" applyProtection="1" applyAlignment="1">
      <alignment horizontal="left" vertical="top"/>
    </xf>
    <xf numFmtId="0" applyNumberFormat="1" fontId="3" applyFont="1" fillId="13" applyFill="1" borderId="23" applyBorder="1" xfId="6" applyProtection="1" applyAlignment="1">
      <alignment horizontal="left" vertical="top" wrapText="1"/>
    </xf>
    <xf numFmtId="0" applyNumberFormat="1" fontId="3" applyFont="1" fillId="13" applyFill="1" borderId="6" applyBorder="1" xfId="6" applyProtection="1" applyAlignment="1">
      <alignment horizontal="left" vertical="top" wrapText="1"/>
    </xf>
    <xf numFmtId="0" applyNumberFormat="1" fontId="3" applyFont="1" fillId="14" applyFill="1" borderId="23" applyBorder="1" xfId="6" applyProtection="1" applyAlignment="1">
      <alignment horizontal="left"/>
    </xf>
    <xf numFmtId="0" applyNumberFormat="1" fontId="3" applyFont="1" fillId="14" applyFill="1" borderId="6" applyBorder="1" xfId="6" applyProtection="1" applyAlignment="1">
      <alignment horizontal="left"/>
    </xf>
    <xf numFmtId="0" applyNumberFormat="1" fontId="3" applyFont="1" fillId="15" applyFill="1" borderId="23" applyBorder="1" xfId="6" applyProtection="1" applyAlignment="1">
      <alignment horizontal="left"/>
    </xf>
    <xf numFmtId="0" applyNumberFormat="1" fontId="3" applyFont="1" fillId="15" applyFill="1" borderId="6" applyBorder="1" xfId="6" applyProtection="1" applyAlignment="1">
      <alignment horizontal="left"/>
    </xf>
    <xf numFmtId="0" applyNumberFormat="1" fontId="6" applyFont="1" fillId="5" applyFill="1" borderId="23" applyBorder="1" xfId="6" applyProtection="1" applyAlignment="1">
      <alignment horizontal="left"/>
    </xf>
    <xf numFmtId="0" applyNumberFormat="1" fontId="6" applyFont="1" fillId="5" applyFill="1" borderId="6" applyBorder="1" xfId="6" applyProtection="1" applyAlignment="1">
      <alignment horizontal="left"/>
    </xf>
    <xf numFmtId="0" applyNumberFormat="1" fontId="3" applyFont="1" fillId="4" applyFill="1" borderId="23" applyBorder="1" xfId="6" applyProtection="1" applyAlignment="1">
      <alignment horizontal="left"/>
    </xf>
    <xf numFmtId="0" applyNumberFormat="1" fontId="3" applyFont="1" fillId="4" applyFill="1" borderId="6" applyBorder="1" xfId="6" applyProtection="1" applyAlignment="1">
      <alignment horizontal="left"/>
    </xf>
    <xf numFmtId="0" applyNumberFormat="1" fontId="6" applyFont="1" fillId="5" applyFill="1" borderId="23" applyBorder="1" xfId="6" applyProtection="1" applyAlignment="1">
      <alignment horizontal="left" vertical="top" wrapText="1"/>
    </xf>
    <xf numFmtId="0" applyNumberFormat="1" fontId="6" applyFont="1" fillId="5" applyFill="1" borderId="6" applyBorder="1" xfId="6" applyProtection="1" applyAlignment="1">
      <alignment horizontal="left" vertical="top" wrapText="1"/>
    </xf>
    <xf numFmtId="0" applyNumberFormat="1" fontId="3" applyFont="1" fillId="5" applyFill="1" borderId="1" applyBorder="1" xfId="6" applyProtection="1" applyAlignment="1">
      <alignment horizontal="center" vertical="center" wrapText="1"/>
    </xf>
    <xf numFmtId="0" applyNumberFormat="1" fontId="3" applyFont="1" fillId="0" applyFill="1" borderId="1" applyBorder="1" xfId="6" applyProtection="1" applyAlignment="1">
      <alignment horizontal="left" vertical="top" wrapText="1"/>
    </xf>
    <xf numFmtId="0" applyNumberFormat="1" fontId="3" applyFont="1" fillId="0" applyFill="1" borderId="15" applyBorder="1" xfId="6" applyProtection="1" applyAlignment="1">
      <alignment horizontal="left" vertical="top" wrapText="1"/>
    </xf>
    <xf numFmtId="0" applyNumberFormat="1" fontId="3" applyFont="1" fillId="5" applyFill="1" borderId="35" applyBorder="1" xfId="6" applyProtection="1" applyAlignment="1">
      <alignment horizontal="left" vertical="top" wrapText="1"/>
    </xf>
    <xf numFmtId="0" applyNumberFormat="1" fontId="3" applyFont="1" fillId="5" applyFill="1" borderId="39" applyBorder="1" xfId="6" applyProtection="1" applyAlignment="1">
      <alignment horizontal="left" vertical="top" wrapText="1"/>
    </xf>
    <xf numFmtId="0" applyNumberFormat="1" fontId="3" applyFont="1" fillId="5" applyFill="1" borderId="36" applyBorder="1" xfId="6" applyProtection="1" applyAlignment="1">
      <alignment horizontal="left" vertical="top" wrapText="1"/>
    </xf>
    <xf numFmtId="0" applyNumberFormat="1" fontId="3" applyFont="1" fillId="5" applyFill="1" borderId="28" applyBorder="1" xfId="6" applyProtection="1" applyAlignment="1">
      <alignment horizontal="left" vertical="top" wrapText="1"/>
    </xf>
    <xf numFmtId="164" applyNumberFormat="1" fontId="3" applyFont="1" fillId="0" applyFill="1" borderId="36" applyBorder="1" xfId="6" applyProtection="1" applyAlignment="1">
      <alignment horizontal="center" vertical="top" wrapText="1"/>
    </xf>
    <xf numFmtId="164" applyNumberFormat="1" fontId="3" applyFont="1" fillId="0" applyFill="1" borderId="28" applyBorder="1" xfId="6" applyProtection="1" applyAlignment="1">
      <alignment horizontal="center" vertical="top" wrapText="1"/>
    </xf>
    <xf numFmtId="0" applyNumberFormat="1" fontId="3" applyFont="1" fillId="5" applyFill="1" borderId="36" applyBorder="1" xfId="6" applyProtection="1" applyAlignment="1">
      <alignment horizontal="center" vertical="top" wrapText="1"/>
    </xf>
    <xf numFmtId="0" applyNumberFormat="1" fontId="3" applyFont="1" fillId="5" applyFill="1" borderId="28" applyBorder="1" xfId="6" applyProtection="1" applyAlignment="1">
      <alignment horizontal="center" vertical="top" wrapText="1"/>
    </xf>
    <xf numFmtId="164" applyNumberFormat="1" fontId="3" applyFont="1" fillId="0" applyFill="1" borderId="37" applyBorder="1" xfId="6" applyProtection="1" applyAlignment="1">
      <alignment horizontal="center" vertical="top" wrapText="1"/>
    </xf>
    <xf numFmtId="164" applyNumberFormat="1" fontId="3" applyFont="1" fillId="0" applyFill="1" borderId="38" applyBorder="1" xfId="6" applyProtection="1" applyAlignment="1">
      <alignment horizontal="center" vertical="top" wrapText="1"/>
    </xf>
    <xf numFmtId="164" applyNumberFormat="1" fontId="3" applyFont="1" fillId="0" applyFill="1" borderId="10" applyBorder="1" xfId="6" applyProtection="1" applyAlignment="1">
      <alignment horizontal="center" vertical="top" wrapText="1"/>
    </xf>
    <xf numFmtId="164" applyNumberFormat="1" fontId="3" applyFont="1" fillId="0" applyFill="1" borderId="11" applyBorder="1" xfId="6" applyProtection="1" applyAlignment="1">
      <alignment horizontal="center" vertical="top" wrapText="1"/>
    </xf>
    <xf numFmtId="0" applyNumberFormat="1" fontId="3" applyFont="1" fillId="5" applyFill="1" borderId="23" applyBorder="1" xfId="6" applyProtection="1" applyAlignment="1">
      <alignment horizontal="left" vertical="top" wrapText="1"/>
    </xf>
    <xf numFmtId="0" applyNumberFormat="1" fontId="3" applyFont="1" fillId="5" applyFill="1" borderId="6" applyBorder="1" xfId="6" applyProtection="1" applyAlignment="1">
      <alignment horizontal="left" vertical="top" wrapText="1"/>
    </xf>
    <xf numFmtId="14" applyNumberFormat="1" fontId="3" applyFont="1" fillId="0" applyFill="1" borderId="7" applyBorder="1" xfId="6" quotePrefix="1" applyProtection="1" applyAlignment="1">
      <alignment horizontal="left" vertical="top" wrapText="1"/>
    </xf>
    <xf numFmtId="0" applyNumberFormat="1" fontId="3" applyFont="1" fillId="0" applyFill="1" borderId="8" applyBorder="1" xfId="6" applyProtection="1" applyAlignment="1">
      <alignment horizontal="left" vertical="top" wrapText="1"/>
    </xf>
    <xf numFmtId="0" applyNumberFormat="1" fontId="3" applyFont="1" fillId="0" applyFill="1" borderId="24" applyBorder="1" xfId="6" applyProtection="1" applyAlignment="1">
      <alignment horizontal="left" vertical="top" wrapText="1"/>
    </xf>
    <xf numFmtId="0" applyNumberFormat="1" fontId="3" applyFont="1" fillId="0" applyFill="1" borderId="7" applyBorder="1" xfId="6" applyProtection="1" applyAlignment="1">
      <alignment horizontal="center"/>
    </xf>
    <xf numFmtId="0" applyNumberFormat="1" fontId="3" applyFont="1" fillId="0" applyFill="1" borderId="6" applyBorder="1" xfId="6" applyProtection="1" applyAlignment="1">
      <alignment horizontal="center"/>
    </xf>
    <xf numFmtId="0" applyNumberFormat="1" fontId="3" applyFont="1" fillId="0" applyFill="1" borderId="40" applyBorder="1" xfId="6" applyProtection="1" applyAlignment="1">
      <alignment horizontal="center" vertical="top" wrapText="1"/>
    </xf>
    <xf numFmtId="0" applyNumberFormat="1" fontId="3" applyFont="1" fillId="0" applyFill="1" borderId="26" applyBorder="1" xfId="6" applyProtection="1" applyAlignment="1">
      <alignment horizontal="center" vertical="top" wrapText="1"/>
    </xf>
    <xf numFmtId="0" applyNumberFormat="1" fontId="3" applyFont="1" fillId="0" applyFill="1" borderId="27" applyBorder="1" xfId="6" applyProtection="1" applyAlignment="1">
      <alignment horizontal="center" vertical="top" wrapText="1"/>
    </xf>
    <xf numFmtId="0" applyNumberFormat="1" fontId="6" applyFont="1" fillId="5" applyFill="1" borderId="20" applyBorder="1" xfId="6" applyProtection="1" applyAlignment="1">
      <alignment horizontal="left"/>
    </xf>
    <xf numFmtId="0" applyNumberFormat="1" fontId="6" applyFont="1" fillId="5" applyFill="1" borderId="41" applyBorder="1" xfId="6" applyProtection="1" applyAlignment="1">
      <alignment horizontal="left"/>
    </xf>
    <xf numFmtId="0" applyNumberFormat="1" fontId="3" applyFont="1" fillId="0" applyFill="1" borderId="31" applyBorder="1" xfId="6" applyProtection="1" applyAlignment="1">
      <alignment horizontal="center" vertical="top" wrapText="1"/>
    </xf>
    <xf numFmtId="0" applyNumberFormat="1" fontId="3" applyFont="1" fillId="0" applyFill="1" borderId="21" applyBorder="1" xfId="6" applyProtection="1" applyAlignment="1">
      <alignment horizontal="center" vertical="top" wrapText="1"/>
    </xf>
    <xf numFmtId="0" applyNumberFormat="1" fontId="3" applyFont="1" fillId="0" applyFill="1" borderId="22" applyBorder="1" xfId="6" applyProtection="1" applyAlignment="1">
      <alignment horizontal="center" vertical="top" wrapText="1"/>
    </xf>
    <xf numFmtId="0" applyNumberFormat="1" fontId="3" applyFont="1" fillId="0" applyFill="1" borderId="1" applyBorder="1" xfId="6" applyProtection="1" applyAlignment="1">
      <alignment horizontal="center" vertical="top" wrapText="1"/>
    </xf>
    <xf numFmtId="0" applyNumberFormat="1" fontId="3" applyFont="1" fillId="0" applyFill="1" borderId="15" applyBorder="1" xfId="6" applyProtection="1" applyAlignment="1">
      <alignment horizontal="center" vertical="top" wrapText="1"/>
    </xf>
    <xf numFmtId="0" applyNumberFormat="1" fontId="3" applyFont="1" fillId="5" applyFill="1" borderId="32" applyBorder="1" xfId="6" applyProtection="1" applyAlignment="1">
      <alignment horizontal="left" vertical="center" wrapText="1"/>
    </xf>
    <xf numFmtId="0" applyNumberFormat="1" fontId="3" applyFont="1" fillId="5" applyFill="1" borderId="33" applyBorder="1" xfId="6" applyProtection="1" applyAlignment="1">
      <alignment horizontal="left" vertical="center" wrapText="1"/>
    </xf>
    <xf numFmtId="0" applyNumberFormat="1" fontId="3" applyFont="1" fillId="0" applyFill="1" borderId="30" applyBorder="1" xfId="6" applyProtection="1" applyAlignment="1">
      <alignment horizontal="left" vertical="center" wrapText="1"/>
    </xf>
    <xf numFmtId="0" applyNumberFormat="1" fontId="3" applyFont="1" fillId="0" applyFill="1" borderId="29" applyBorder="1" xfId="6" applyProtection="1" applyAlignment="1">
      <alignment horizontal="left" vertical="center" wrapText="1"/>
    </xf>
    <xf numFmtId="0" applyNumberFormat="1" fontId="3" applyFont="1" fillId="5" applyFill="1" borderId="30" applyBorder="1" xfId="6" applyProtection="1" applyAlignment="1">
      <alignment horizontal="left" vertical="top" wrapText="1"/>
    </xf>
    <xf numFmtId="0" applyNumberFormat="1" fontId="3" applyFont="1" fillId="5" applyFill="1" borderId="29" applyBorder="1" xfId="6" applyProtection="1" applyAlignment="1">
      <alignment horizontal="left" vertical="top" wrapText="1"/>
    </xf>
    <xf numFmtId="166" applyNumberFormat="1" fontId="3" applyFont="1" fillId="0" applyFill="1" borderId="30" applyBorder="1" xfId="6" applyProtection="1" applyAlignment="1">
      <alignment horizontal="left" vertical="center" wrapText="1"/>
    </xf>
    <xf numFmtId="166" applyNumberFormat="1" fontId="3" applyFont="1" fillId="0" applyFill="1" borderId="29" applyBorder="1" xfId="6" applyProtection="1" applyAlignment="1">
      <alignment horizontal="left" vertical="center" wrapText="1"/>
    </xf>
    <xf numFmtId="0" applyNumberFormat="1" fontId="27" applyFont="1" fillId="6" applyFill="1" borderId="7" applyBorder="1" xfId="12" applyProtection="1" applyAlignment="1">
      <alignment horizontal="center" vertical="center"/>
    </xf>
    <xf numFmtId="0" applyNumberFormat="1" fontId="27" applyFont="1" fillId="6" applyFill="1" borderId="8" applyBorder="1" xfId="12" applyProtection="1" applyAlignment="1">
      <alignment horizontal="center" vertical="center"/>
    </xf>
    <xf numFmtId="0" applyNumberFormat="1" fontId="27" applyFont="1" fillId="6" applyFill="1" borderId="6" applyBorder="1" xfId="12" applyProtection="1" applyAlignment="1">
      <alignment horizontal="center" vertical="center"/>
    </xf>
    <xf numFmtId="0" applyNumberFormat="1" fontId="27" applyFont="1" fillId="14" applyFill="1" borderId="7" applyBorder="1" xfId="12" applyProtection="1" applyAlignment="1">
      <alignment horizontal="center" vertical="center"/>
    </xf>
    <xf numFmtId="0" applyNumberFormat="1" fontId="27" applyFont="1" fillId="14" applyFill="1" borderId="8" applyBorder="1" xfId="12" applyProtection="1" applyAlignment="1">
      <alignment horizontal="center" vertical="center"/>
    </xf>
    <xf numFmtId="0" applyNumberFormat="1" fontId="27" applyFont="1" fillId="14" applyFill="1" borderId="6" applyBorder="1" xfId="12" applyProtection="1" applyAlignment="1">
      <alignment horizontal="center" vertical="center"/>
    </xf>
    <xf numFmtId="0" applyNumberFormat="1" fontId="7" applyFont="1" fillId="12" applyFill="1" borderId="9" applyBorder="1" xfId="0" applyProtection="1" applyAlignment="1">
      <alignment horizontal="center"/>
    </xf>
    <xf numFmtId="0" applyNumberFormat="1" fontId="23" applyFont="1" fillId="10" applyFill="1" borderId="30" applyBorder="1" xfId="0" applyProtection="1" applyAlignment="1">
      <alignment horizontal="center" vertical="center"/>
    </xf>
    <xf numFmtId="0" applyNumberFormat="1" fontId="23" applyFont="1" fillId="10" applyFill="1" borderId="28" applyBorder="1" xfId="0" applyProtection="1" applyAlignment="1">
      <alignment horizontal="center" vertical="center"/>
    </xf>
    <xf numFmtId="0" applyNumberFormat="1" fontId="23" applyFont="1" fillId="10" applyFill="1" borderId="7" applyBorder="1" xfId="0" applyProtection="1" applyAlignment="1">
      <alignment horizontal="center" vertical="center" wrapText="1"/>
    </xf>
    <xf numFmtId="0" applyNumberFormat="1" fontId="23" applyFont="1" fillId="10" applyFill="1" borderId="8" applyBorder="1" xfId="0" applyProtection="1" applyAlignment="1">
      <alignment horizontal="center" vertical="center" wrapText="1"/>
    </xf>
    <xf numFmtId="0" applyNumberFormat="1" fontId="23" applyFont="1" fillId="10" applyFill="1" borderId="6" applyBorder="1" xfId="0" applyProtection="1" applyAlignment="1">
      <alignment horizontal="center" vertical="center" wrapText="1"/>
    </xf>
    <xf numFmtId="0" applyNumberFormat="1" fontId="19" applyFont="1" fillId="0" applyFill="1" borderId="12" applyBorder="1" xfId="8" applyProtection="1" applyAlignment="1">
      <alignment horizontal="left" vertical="center" wrapText="1"/>
    </xf>
    <xf numFmtId="0" applyNumberFormat="1" fontId="19" applyFont="1" fillId="0" applyFill="1" borderId="16" applyBorder="1" xfId="8" applyProtection="1" applyAlignment="1">
      <alignment horizontal="left" vertical="center" wrapText="1"/>
    </xf>
    <xf numFmtId="0" applyNumberFormat="1" fontId="19" applyFont="1" fillId="0" applyFill="1" borderId="13" applyBorder="1" xfId="8" applyProtection="1" applyAlignment="1">
      <alignment horizontal="left" vertical="center" wrapText="1"/>
    </xf>
    <xf numFmtId="0" applyNumberFormat="1" fontId="3" applyFont="1" fillId="5" applyFill="1" borderId="2" applyBorder="1" xfId="8" applyProtection="1" applyAlignment="1">
      <alignment horizontal="left" wrapText="1"/>
    </xf>
    <xf numFmtId="0" applyNumberFormat="1" fontId="3" applyFont="1" fillId="5" applyFill="1" borderId="0" applyBorder="1" xfId="8" applyProtection="1" applyAlignment="1">
      <alignment horizontal="left" vertical="center" wrapText="1"/>
    </xf>
    <xf numFmtId="0" applyNumberFormat="1" fontId="19" applyFont="1" fillId="0" applyFill="1" borderId="20" applyBorder="1" xfId="8" applyProtection="1" applyAlignment="1">
      <alignment horizontal="left" vertical="center" wrapText="1"/>
    </xf>
    <xf numFmtId="0" applyNumberFormat="1" fontId="19" applyFont="1" fillId="0" applyFill="1" borderId="21" applyBorder="1" xfId="8" applyProtection="1" applyAlignment="1">
      <alignment horizontal="left" vertical="center" wrapText="1"/>
    </xf>
    <xf numFmtId="0" applyNumberFormat="1" fontId="19" applyFont="1" fillId="0" applyFill="1" borderId="22" applyBorder="1" xfId="8" applyProtection="1" applyAlignment="1">
      <alignment horizontal="left" vertical="center" wrapText="1"/>
    </xf>
    <xf numFmtId="0" applyNumberFormat="1" fontId="19" applyFont="1" fillId="0" applyFill="1" borderId="23" applyBorder="1" xfId="8" applyProtection="1" applyAlignment="1">
      <alignment horizontal="left" vertical="center" wrapText="1"/>
    </xf>
    <xf numFmtId="0" applyNumberFormat="1" fontId="19" applyFont="1" fillId="0" applyFill="1" borderId="8" applyBorder="1" xfId="8" applyProtection="1" applyAlignment="1">
      <alignment horizontal="left" vertical="center" wrapText="1"/>
    </xf>
    <xf numFmtId="0" applyNumberFormat="1" fontId="19" applyFont="1" fillId="0" applyFill="1" borderId="24" applyBorder="1" xfId="8" applyProtection="1" applyAlignment="1">
      <alignment horizontal="left" vertical="center" wrapText="1"/>
    </xf>
    <xf numFmtId="0" applyNumberFormat="1" fontId="19" applyFont="1" fillId="0" applyFill="1" borderId="25" applyBorder="1" xfId="8" applyProtection="1" applyAlignment="1">
      <alignment horizontal="left" vertical="center" wrapText="1"/>
    </xf>
    <xf numFmtId="0" applyNumberFormat="1" fontId="19" applyFont="1" fillId="0" applyFill="1" borderId="26" applyBorder="1" xfId="8" applyProtection="1" applyAlignment="1">
      <alignment horizontal="left" vertical="center" wrapText="1"/>
    </xf>
    <xf numFmtId="0" applyNumberFormat="1" fontId="19" applyFont="1" fillId="0" applyFill="1" borderId="27" applyBorder="1" xfId="8" applyProtection="1" applyAlignment="1">
      <alignment horizontal="left" vertical="center" wrapText="1"/>
    </xf>
    <xf numFmtId="0" applyNumberFormat="1" fontId="3" applyFont="1" fillId="6" applyFill="1" borderId="0" applyBorder="1" xfId="8" applyProtection="1" applyAlignment="1">
      <alignment horizontal="left" vertical="center" wrapText="1"/>
    </xf>
    <xf numFmtId="0" applyNumberFormat="1" fontId="3" applyFont="1" fillId="6" applyFill="1" borderId="0" applyBorder="1" xfId="8" applyProtection="1" applyAlignment="1">
      <alignment horizontal="center" wrapText="1"/>
    </xf>
    <xf numFmtId="0" applyNumberFormat="1" fontId="3" applyFont="1" fillId="5" applyFill="1" borderId="2" applyBorder="1" xfId="8" applyProtection="1" applyAlignment="1">
      <alignment horizontal="left" vertical="center" wrapText="1"/>
    </xf>
    <xf numFmtId="0" applyNumberFormat="1" fontId="3" applyFont="1" fillId="5" applyFill="1" borderId="0" applyBorder="1" xfId="8" applyProtection="1" applyAlignment="1">
      <alignment horizontal="center" vertical="center" wrapText="1"/>
    </xf>
    <xf numFmtId="0" applyNumberFormat="1" fontId="18" applyFont="1" fillId="0" applyFill="1" borderId="9" applyBorder="1" xfId="0" quotePrefix="1" applyProtection="1" applyAlignment="1">
      <alignment horizontal="left" vertical="center" wrapText="1"/>
    </xf>
    <xf numFmtId="0" applyNumberFormat="1" fontId="15" applyFont="1" fillId="0" applyFill="1" borderId="0" applyBorder="1" xfId="0" applyProtection="1" applyAlignment="1">
      <alignment horizontal="right" vertical="center"/>
    </xf>
    <xf numFmtId="0" applyNumberFormat="1" fontId="15" applyFont="1" fillId="0" applyFill="1" borderId="0" applyBorder="1" xfId="0" applyProtection="1" applyAlignment="1">
      <alignment horizontal="center" vertical="center"/>
    </xf>
    <xf numFmtId="0" applyNumberFormat="1" fontId="0" applyFont="1" fillId="0" applyFill="1" borderId="0" applyBorder="1" xfId="0" applyProtection="1" applyAlignment="1">
      <alignment horizontal="center" vertical="center"/>
    </xf>
    <xf numFmtId="0" applyNumberFormat="1" fontId="30" applyFont="1" fillId="0" applyFill="1" borderId="0" applyBorder="1" xfId="0" applyProtection="1" applyAlignment="1">
      <alignment horizontal="left" vertical="center" wrapText="1"/>
    </xf>
    <xf numFmtId="0" applyNumberFormat="1" fontId="15" applyFont="1" fillId="0" applyFill="1" borderId="0" applyBorder="1" xfId="0" applyProtection="1" applyAlignment="1">
      <alignment horizontal="left" vertical="center" wrapText="1"/>
    </xf>
    <xf numFmtId="0" applyNumberFormat="1" fontId="15" applyFont="1" fillId="0" applyFill="1" borderId="0" applyBorder="1" xfId="0" applyProtection="1" applyAlignment="1">
      <alignment horizontal="left" vertical="center"/>
    </xf>
    <xf numFmtId="0" applyNumberFormat="1" fontId="32" applyFont="1" fillId="0" applyFill="1" borderId="0" applyBorder="1" xfId="0" applyProtection="1" applyAlignment="1">
      <alignment horizontal="left" vertical="center" wrapText="1"/>
    </xf>
    <xf numFmtId="0" applyNumberFormat="1" fontId="32" applyFont="1" fillId="0" applyFill="1" borderId="0" applyBorder="1" xfId="0" applyProtection="1" applyAlignment="1">
      <alignment horizontal="right" vertical="center"/>
    </xf>
    <xf numFmtId="0" applyNumberFormat="1" fontId="32" applyFont="1" fillId="0" applyFill="1" borderId="0" applyBorder="1" xfId="0" applyProtection="1" applyAlignment="1">
      <alignment horizontal="center" vertical="center"/>
    </xf>
    <xf numFmtId="0" applyNumberFormat="1" fontId="33" applyFont="1" fillId="0" applyFill="1" borderId="0" applyBorder="1" xfId="0" applyProtection="1" applyAlignment="1">
      <alignment horizontal="center" vertical="center"/>
    </xf>
    <xf numFmtId="0" applyNumberFormat="1" fontId="34" applyFont="1" fillId="0" applyFill="1" borderId="0" applyBorder="1" xfId="0" applyProtection="1" applyAlignment="1">
      <alignment horizontal="left" vertical="center" wrapText="1"/>
    </xf>
    <xf numFmtId="0" applyNumberFormat="1" fontId="47" applyFont="1" fillId="23" applyFill="1" borderId="1" applyBorder="1" xfId="0" applyProtection="1"/>
  </cellXfs>
  <cellStyles count="13">
    <cellStyle name="Hyperlink" xfId="1" builtinId="8"/>
    <cellStyle name="Hyperlink 2" xfId="2"/>
    <cellStyle name="Normal" xfId="0" builtinId="0"/>
    <cellStyle name="Normal 2" xfId="3"/>
    <cellStyle name="Normal 2 2" xfId="4"/>
    <cellStyle name="Normal 2 2 2" xfId="5"/>
    <cellStyle name="Normal 3" xfId="6"/>
    <cellStyle name="Normal 9" xfId="7"/>
    <cellStyle name="Normal_SWMODxTSn" xfId="8"/>
    <cellStyle name="Standard_BMS_nnn_project" xfId="9"/>
    <cellStyle name="Standard_PSR_Project_Status_Report_V3_0_internal_draft" xfId="10"/>
    <cellStyle name="Standard_SMK_PDMK_EXCEL_TEMPLATE" xfId="11"/>
    <cellStyle name="常规 2" xfId="12"/>
  </cellStyles>
  <dxfs count="67">
    <dxf>
      <fill>
        <patternFill>
          <fgColor indexed="64"/>
          <bgColor rgb="FF66FF33"/>
        </patternFill>
      </fill>
    </dxf>
    <dxf>
      <fill>
        <patternFill>
          <fgColor indexed="64"/>
          <bgColor rgb="FFFF0000"/>
        </patternFill>
      </fill>
    </dxf>
    <dxf>
      <fill>
        <patternFill>
          <fgColor indexed="64"/>
          <bgColor rgb="FFFFC000"/>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
      <fill>
        <patternFill>
          <bgColor rgb="FF00B050"/>
        </patternFill>
      </fill>
    </dxf>
    <dxf>
      <fill>
        <patternFill>
          <bgColor rgb="FFFF0000"/>
        </patternFill>
      </fill>
    </dxf>
    <dxf>
      <fill>
        <patternFill>
          <bgColor theme="0" tint="-0.499984740745262"/>
        </patternFill>
      </fill>
    </dxf>
    <dxf>
      <fill>
        <patternFill>
          <bgColor theme="9" tint="-0.24994659260841701"/>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20" Type="http://schemas.openxmlformats.org/officeDocument/2006/relationships/sharedStrings" Target="sharedStrings.xml"/></Relationships>
</file>

<file path=xl/drawings/_rels/drawing1.xml.rels><?xml version="1.0" encoding="UTF-8" standalone="yes"?><Relationships xmlns="http://schemas.openxmlformats.org/package/2006/relationships"><Relationship Id="rId1" Type="http://schemas.openxmlformats.org/officeDocument/2006/relationships/image" Target="../media/image1.png"/></Relationships>
</file>

<file path=xl/drawings/_rels/drawing3.xml.rels><?xml version="1.0" encoding="UTF-8" standalone="yes"?><Relationships xmlns="http://schemas.openxmlformats.org/package/2006/relationships"><Relationship Id="rId1" Type="http://schemas.openxmlformats.org/officeDocument/2006/relationships/image" Target="../media/image3.emf"/></Relationships>
</file>

<file path=xl/drawings/_rels/vmlDrawing1.vml.rels><?xml version="1.0" encoding="UTF-8" standalone="yes"?><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0</xdr:row>
      <xdr:rowOff>101600</xdr:rowOff>
    </xdr:from>
    <xdr:to>
      <xdr:col>0</xdr:col>
      <xdr:colOff>847725</xdr:colOff>
      <xdr:row>1</xdr:row>
      <xdr:rowOff>28575</xdr:rowOff>
    </xdr:to>
    <xdr:pic>
      <xdr:nvPicPr>
        <xdr:cNvPr id="4" name="Picture 1">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 y="101600"/>
          <a:ext cx="679450" cy="2939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2</xdr:col>
          <xdr:colOff>0</xdr:colOff>
          <xdr:row>1</xdr:row>
          <xdr:rowOff>106679</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solidFill>
              <a:srgbClr val="FFFFFF" mc:Ignorable="a14" a14:legacySpreadsheetColorIndex="9"/>
            </a:solidFill>
            <a:ln w="9525">
              <a:solidFill>
                <a:srgbClr val="FFFFFF" mc:Ignorable="a14" a14:legacySpreadsheetColorIndex="9"/>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4</xdr:col>
      <xdr:colOff>3498817</xdr:colOff>
      <xdr:row>14</xdr:row>
      <xdr:rowOff>456088</xdr:rowOff>
    </xdr:from>
    <xdr:ext cx="590550" cy="17145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5824167" y="15543688"/>
              <a:ext cx="587407"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4</m:t>
                    </m:r>
                    <m:r>
                      <a:rPr lang="en-US" sz="1100" b="0" i="1">
                        <a:latin typeface="Cambria Math" panose="02040503050406030204" pitchFamily="18" charset="0"/>
                        <a:ea typeface="Cambria Math" panose="02040503050406030204" pitchFamily="18" charset="0"/>
                      </a:rPr>
                      <m:t>×</m:t>
                    </m:r>
                    <m:sSup>
                      <m:sSupPr>
                        <m:ctrlPr>
                          <a:rPr lang="en-US" sz="1100" i="1">
                            <a:latin typeface="Cambria Math" panose="02040503050406030204" pitchFamily="18" charset="0"/>
                          </a:rPr>
                        </m:ctrlPr>
                      </m:sSupPr>
                      <m:e>
                        <m:r>
                          <a:rPr lang="en-US" sz="1100" b="0" i="1">
                            <a:latin typeface="Cambria Math" panose="02040503050406030204" pitchFamily="18" charset="0"/>
                          </a:rPr>
                          <m:t>10</m:t>
                        </m:r>
                      </m:e>
                      <m:sup>
                        <m:r>
                          <a:rPr lang="en-US" sz="1100" b="0" i="1">
                            <a:latin typeface="Cambria Math" panose="02040503050406030204" pitchFamily="18" charset="0"/>
                          </a:rPr>
                          <m:t>9</m:t>
                        </m:r>
                      </m:sup>
                    </m:sSup>
                  </m:oMath>
                </m:oMathPara>
              </a14:m>
              <a:endParaRPr lang="en-US" sz="1100"/>
            </a:p>
          </xdr:txBody>
        </xdr:sp>
      </mc:Choice>
      <mc:Fallback xmlns="">
        <xdr:sp macro="" textlink="">
          <xdr:nvSpPr>
            <xdr:cNvPr id="2" name="TextBox 1"/>
            <xdr:cNvSpPr txBox="1"/>
          </xdr:nvSpPr>
          <xdr:spPr>
            <a:xfrm>
              <a:off x="15824167" y="15543688"/>
              <a:ext cx="587407"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a:latin typeface="Cambria Math" panose="02040503050406030204" pitchFamily="18" charset="0"/>
                </a:rPr>
                <a:t>4</a:t>
              </a:r>
              <a:r>
                <a:rPr lang="en-US" sz="1100" b="0" i="0">
                  <a:latin typeface="Cambria Math" panose="02040503050406030204" pitchFamily="18" charset="0"/>
                  <a:ea typeface="Cambria Math" panose="02040503050406030204" pitchFamily="18" charset="0"/>
                </a:rPr>
                <a:t>×</a:t>
              </a:r>
              <a:r>
                <a:rPr lang="en-US" sz="1100" i="0">
                  <a:latin typeface="Cambria Math" panose="02040503050406030204" pitchFamily="18" charset="0"/>
                </a:rPr>
                <a:t>〖</a:t>
              </a:r>
              <a:r>
                <a:rPr lang="en-US" sz="1100" b="0" i="0">
                  <a:latin typeface="Cambria Math" panose="02040503050406030204" pitchFamily="18" charset="0"/>
                </a:rPr>
                <a:t>10〗^9</a:t>
              </a:r>
              <a:endParaRPr lang="en-US" sz="1100"/>
            </a:p>
          </xdr:txBody>
        </xdr:sp>
      </mc:Fallback>
    </mc:AlternateContent>
    <xdr:clientData/>
  </xdr:oneCellAnchor>
  <xdr:twoCellAnchor editAs="oneCell">
    <xdr:from>
      <xdr:col>0</xdr:col>
      <xdr:colOff>228600</xdr:colOff>
      <xdr:row>1</xdr:row>
      <xdr:rowOff>76200</xdr:rowOff>
    </xdr:from>
    <xdr:to>
      <xdr:col>0</xdr:col>
      <xdr:colOff>1438275</xdr:colOff>
      <xdr:row>1</xdr:row>
      <xdr:rowOff>419100</xdr:rowOff>
    </xdr:to>
    <xdr:sp macro="" textlink="">
      <xdr:nvSpPr>
        <xdr:cNvPr id="3" name="btnRefreshAction" hidden="1">
          <a:extLst>
            <a:ext uri="{63B3BB69-23CF-44E3-9099-C40C66FF867C}">
              <a14:compatExt xmlns:a14="http://schemas.microsoft.com/office/drawing/2010/main" spid="_x0000_s15361"/>
            </a:ext>
            <a:ext uri="{FF2B5EF4-FFF2-40B4-BE49-F238E27FC236}">
              <a16:creationId xmlns:a16="http://schemas.microsoft.com/office/drawing/2014/main" id="{00000000-0008-0000-09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152400</xdr:colOff>
      <xdr:row>1</xdr:row>
      <xdr:rowOff>50800</xdr:rowOff>
    </xdr:from>
    <xdr:to>
      <xdr:col>0</xdr:col>
      <xdr:colOff>962025</xdr:colOff>
      <xdr:row>2</xdr:row>
      <xdr:rowOff>66675</xdr:rowOff>
    </xdr:to>
    <xdr:pic>
      <xdr:nvPicPr>
        <xdr:cNvPr id="15361" name="btnRefreshAction">
          <a:extLst>
            <a:ext uri="{FF2B5EF4-FFF2-40B4-BE49-F238E27FC236}">
              <a16:creationId xmlns:a16="http://schemas.microsoft.com/office/drawing/2014/main" id="{00000000-0008-0000-0900-0000013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1651000"/>
          <a:ext cx="806450" cy="10477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3" Type="http://schemas.openxmlformats.org/officeDocument/2006/relationships/oleObject" Target="../embeddings/Microsoft_Word_97_-_2003_Document.doc"/><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4.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3"/>
  <sheetViews>
    <sheetView showGridLines="0" workbookViewId="0">
      <selection activeCell="G15" sqref="G15"/>
    </sheetView>
  </sheetViews>
  <sheetFormatPr defaultColWidth="9" defaultRowHeight="13.2"/>
  <cols>
    <col min="1" max="1" width="17.6640625" customWidth="1" style="6"/>
    <col min="2" max="2" width="36.6640625" customWidth="1" style="6"/>
    <col min="3" max="3" width="14.6640625" customWidth="1" style="6"/>
    <col min="4" max="4" width="12.6640625" customWidth="1" style="6"/>
    <col min="5" max="5" width="10.33203125" customWidth="1" style="6"/>
    <col min="6" max="7" width="9" customWidth="1" style="6"/>
    <col min="8" max="8" width="9.6640625" customWidth="1" style="6"/>
    <col min="9" max="9" width="9.33203125" customWidth="1" style="6"/>
    <col min="10" max="28" width="9" customWidth="1" style="6"/>
    <col min="29" max="16384" width="9" customWidth="1" style="6"/>
  </cols>
  <sheetData>
    <row r="1" ht="28.5" customHeight="1">
      <c r="A1" s="100"/>
      <c r="B1" s="302" t="s">
        <v>0</v>
      </c>
      <c r="C1" s="302"/>
      <c r="D1" s="302"/>
      <c r="E1" s="302"/>
      <c r="F1" s="100"/>
      <c r="G1" s="100"/>
      <c r="H1" s="100"/>
      <c r="I1" s="100"/>
    </row>
    <row r="2" ht="41.25" customHeight="1">
      <c r="A2" s="100"/>
      <c r="B2" s="101"/>
      <c r="C2" s="102"/>
      <c r="D2" s="100"/>
      <c r="E2" s="100"/>
      <c r="F2" s="100"/>
      <c r="G2" s="100"/>
      <c r="H2" s="100"/>
      <c r="I2" s="100"/>
    </row>
    <row r="4" ht="15" customHeight="1">
      <c r="A4" s="303" t="s">
        <v>1</v>
      </c>
      <c r="B4" s="303"/>
      <c r="C4" s="303"/>
      <c r="D4" s="303"/>
    </row>
    <row r="5">
      <c r="A5" s="304"/>
      <c r="B5" s="304"/>
      <c r="C5" s="304"/>
      <c r="D5" s="304"/>
      <c r="E5" s="148"/>
    </row>
    <row r="6" ht="15" customHeight="1">
      <c r="A6" s="103" t="s">
        <v>2</v>
      </c>
      <c r="B6" s="104" t="s">
        <v>3</v>
      </c>
      <c r="C6" s="104" t="s">
        <v>4</v>
      </c>
      <c r="D6" s="142" t="s">
        <v>5</v>
      </c>
      <c r="E6" s="149" t="s">
        <v>6</v>
      </c>
    </row>
    <row r="7">
      <c r="A7" s="305" t="s">
        <v>7</v>
      </c>
      <c r="B7" s="307" t="s">
        <v>8</v>
      </c>
      <c r="C7" s="309" t="s">
        <v>9</v>
      </c>
      <c r="D7" s="311" t="s">
        <v>10</v>
      </c>
      <c r="E7" s="309" t="s">
        <v>11</v>
      </c>
    </row>
    <row r="8">
      <c r="A8" s="306"/>
      <c r="B8" s="308"/>
      <c r="C8" s="310"/>
      <c r="D8" s="308"/>
      <c r="E8" s="310"/>
    </row>
    <row r="9" ht="15" customHeight="1">
      <c r="A9" s="105" t="s">
        <v>12</v>
      </c>
      <c r="B9" s="106" t="s">
        <v>13</v>
      </c>
      <c r="C9" s="107">
        <v>43994</v>
      </c>
      <c r="D9" s="108" t="s">
        <v>14</v>
      </c>
      <c r="E9" s="143" t="s">
        <v>15</v>
      </c>
    </row>
    <row r="10" ht="15" customHeight="1">
      <c r="A10" s="272" t="s">
        <v>16</v>
      </c>
      <c r="B10" s="276" t="s">
        <v>17</v>
      </c>
      <c r="C10" s="273">
        <v>44056</v>
      </c>
      <c r="D10" s="274" t="s">
        <v>18</v>
      </c>
      <c r="E10" s="275" t="s">
        <v>19</v>
      </c>
    </row>
    <row r="11">
      <c r="A11" s="109" t="s">
        <v>20</v>
      </c>
      <c r="B11" s="284" t="s">
        <v>21</v>
      </c>
      <c r="C11" s="273">
        <v>44173</v>
      </c>
      <c r="D11" s="112" t="s">
        <v>22</v>
      </c>
      <c r="E11" s="143" t="s">
        <v>19</v>
      </c>
    </row>
    <row r="12" ht="15" customHeight="1">
      <c r="A12" s="109"/>
      <c r="B12" s="110"/>
      <c r="C12" s="111"/>
      <c r="D12" s="112"/>
      <c r="E12" s="143"/>
    </row>
    <row r="13">
      <c r="A13" s="109"/>
      <c r="B13" s="110"/>
      <c r="C13" s="111"/>
      <c r="D13" s="112"/>
      <c r="E13" s="143"/>
    </row>
    <row r="14">
      <c r="A14" s="109"/>
      <c r="B14" s="110"/>
      <c r="C14" s="111"/>
      <c r="D14" s="112"/>
      <c r="E14" s="143"/>
    </row>
    <row r="15" ht="15" customHeight="1">
      <c r="A15" s="109"/>
      <c r="B15" s="110"/>
      <c r="C15" s="111"/>
      <c r="D15" s="112"/>
      <c r="E15" s="143"/>
    </row>
    <row r="16">
      <c r="A16" s="109"/>
      <c r="B16" s="110"/>
      <c r="C16" s="111"/>
      <c r="D16" s="112"/>
      <c r="E16" s="143"/>
    </row>
    <row r="17" ht="15" customHeight="1">
      <c r="A17" s="109"/>
      <c r="B17" s="110"/>
      <c r="C17" s="111"/>
      <c r="D17" s="112"/>
      <c r="E17" s="143"/>
    </row>
    <row r="18" ht="15" customHeight="1">
      <c r="A18" s="109"/>
      <c r="B18" s="110"/>
      <c r="C18" s="111"/>
      <c r="D18" s="112"/>
      <c r="E18" s="143"/>
    </row>
    <row r="19" ht="13.5" customHeight="1">
      <c r="A19" s="109"/>
      <c r="B19" s="110"/>
      <c r="C19" s="111"/>
      <c r="D19" s="112"/>
      <c r="E19" s="143"/>
    </row>
    <row r="20">
      <c r="A20" s="109"/>
      <c r="B20" s="110"/>
      <c r="C20" s="111"/>
      <c r="D20" s="112"/>
      <c r="E20" s="143"/>
    </row>
    <row r="21">
      <c r="A21" s="109"/>
      <c r="B21" s="110"/>
      <c r="C21" s="111"/>
      <c r="D21" s="112"/>
      <c r="E21" s="143"/>
    </row>
    <row r="22">
      <c r="A22" s="109"/>
      <c r="B22" s="110"/>
      <c r="C22" s="111"/>
      <c r="D22" s="112"/>
      <c r="E22" s="143"/>
    </row>
    <row r="23">
      <c r="A23" s="109"/>
      <c r="B23" s="110"/>
      <c r="C23" s="111"/>
      <c r="D23" s="112"/>
      <c r="E23" s="143"/>
    </row>
    <row r="30" ht="15" customHeight="1"/>
    <row r="31" ht="39.75" customHeight="1"/>
    <row r="48" ht="13.5" customHeight="1"/>
    <row r="50" ht="15" customHeight="1"/>
    <row r="51" ht="15" customHeight="1"/>
    <row r="53" ht="15" customHeight="1"/>
  </sheetData>
  <mergeCells>
    <mergeCell ref="B1:E1"/>
    <mergeCell ref="A4:D5"/>
    <mergeCell ref="A7:A8"/>
    <mergeCell ref="B7:B8"/>
    <mergeCell ref="C7:C8"/>
    <mergeCell ref="D7:D8"/>
    <mergeCell ref="E7:E8"/>
  </mergeCells>
  <phoneticPr fontId="6" type="noConversion"/>
  <dataValidations count="4">
    <dataValidation type="list" allowBlank="1" showInputMessage="1" showErrorMessage="1" sqref="F19:H28" xr:uid="{00000000-0002-0000-0000-000000000000}">
      <formula1>"reviewed, approved"</formula1>
    </dataValidation>
    <dataValidation type="list" allowBlank="1" showInputMessage="1" showErrorMessage="1" sqref="D10" xr:uid="{00000000-0002-0000-0000-000001000000}">
      <formula1>"', internal, confidential, strictly confidential"</formula1>
    </dataValidation>
    <dataValidation type="list" allowBlank="1" showInputMessage="1" showErrorMessage="1" sqref="D8 F8:H8" xr:uid="{00000000-0002-0000-0000-000002000000}">
      <formula1>"draft, reviewed, approved, released"</formula1>
    </dataValidation>
    <dataValidation type="list" allowBlank="1" showInputMessage="1" showErrorMessage="1" sqref="E9:E23" xr:uid="{00000000-0002-0000-0000-000003000000}">
      <formula1>"Create,Review,Update,Release"</formula1>
    </dataValidation>
  </dataValidations>
  <hyperlinks>
    <hyperlink ref="D15:H15" location="Guidelines!A28" display="Check template changes"/>
  </hyperlinks>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IV29"/>
  <sheetViews>
    <sheetView topLeftCell="A10" workbookViewId="0">
      <selection activeCell="D18" sqref="D18"/>
    </sheetView>
  </sheetViews>
  <sheetFormatPr defaultColWidth="0" defaultRowHeight="13.2"/>
  <cols>
    <col min="1" max="1" width="9.44140625" customWidth="1" style="6"/>
    <col min="2" max="2" width="19.33203125" customWidth="1" style="6"/>
    <col min="3" max="3" width="14" customWidth="1" style="6"/>
    <col min="4" max="4" width="15.5546875" customWidth="1" style="6"/>
    <col min="5" max="5" width="18.33203125" customWidth="1" style="6"/>
    <col min="6" max="6" width="9.5546875" customWidth="1" style="6"/>
    <col min="7" max="7" width="11.6640625" customWidth="1" style="6"/>
    <col min="8" max="251" width="8" customWidth="1" style="6"/>
    <col min="252" max="252" width="9.6640625" customWidth="1" style="6"/>
    <col min="253" max="253" hidden="1" width="42.44140625" customWidth="1" style="6"/>
    <col min="254" max="255" hidden="1" width="8" customWidth="1" style="6"/>
    <col min="256" max="274" hidden="1" width="8.6640625" customWidth="1" style="6"/>
    <col min="275" max="16384" hidden="1" width="8.6640625" customWidth="1" style="6"/>
  </cols>
  <sheetData>
    <row r="1" ht="17.4">
      <c r="D1" s="113" t="s">
        <v>23</v>
      </c>
      <c r="IT1" s="114"/>
      <c r="IU1" s="114"/>
      <c r="IV1" s="114" t="s">
        <v>24</v>
      </c>
    </row>
    <row r="2" ht="15.6">
      <c r="D2" s="115"/>
      <c r="IT2" s="116"/>
      <c r="IU2" s="116"/>
      <c r="IV2" s="116" t="s">
        <v>25</v>
      </c>
    </row>
    <row r="3" ht="20.4">
      <c r="A3" s="117" t="s">
        <v>26</v>
      </c>
      <c r="B3" s="118"/>
      <c r="C3" s="119"/>
      <c r="D3" s="119"/>
      <c r="E3" s="119"/>
      <c r="F3" s="114"/>
      <c r="G3" s="114"/>
      <c r="IT3" s="120"/>
      <c r="IU3" s="116"/>
      <c r="IV3" s="120" t="s">
        <v>27</v>
      </c>
    </row>
    <row r="4" ht="26.4">
      <c r="A4" s="121" t="s">
        <v>28</v>
      </c>
      <c r="B4" s="355" t="s">
        <v>29</v>
      </c>
      <c r="C4" s="356"/>
      <c r="D4" s="356"/>
      <c r="E4" s="356"/>
      <c r="F4" s="356"/>
      <c r="G4" s="357"/>
      <c r="IT4" s="116"/>
      <c r="IU4" s="120"/>
      <c r="IV4" s="120" t="s">
        <v>30</v>
      </c>
    </row>
    <row r="5" ht="20.4">
      <c r="A5" s="121" t="s">
        <v>31</v>
      </c>
      <c r="B5" s="122" t="s">
        <v>32</v>
      </c>
      <c r="C5" s="123" t="s">
        <v>33</v>
      </c>
      <c r="D5" s="122" t="s">
        <v>34</v>
      </c>
      <c r="E5" s="123" t="s">
        <v>35</v>
      </c>
      <c r="F5" s="358"/>
      <c r="G5" s="359"/>
      <c r="IS5" s="6" t="s">
        <v>36</v>
      </c>
      <c r="IT5" s="120"/>
      <c r="IU5" s="120"/>
      <c r="IV5" s="120" t="s">
        <v>37</v>
      </c>
    </row>
    <row r="6" ht="26.4">
      <c r="A6" s="360" t="s">
        <v>38</v>
      </c>
      <c r="B6" s="362" t="s">
        <v>25</v>
      </c>
      <c r="C6" s="364" t="s">
        <v>39</v>
      </c>
      <c r="D6" s="366" t="s">
        <v>40</v>
      </c>
      <c r="E6" s="124" t="s">
        <v>41</v>
      </c>
      <c r="F6" s="122"/>
      <c r="G6" s="125"/>
      <c r="IS6" s="6" t="s">
        <v>42</v>
      </c>
      <c r="IT6" s="120"/>
      <c r="IU6" s="120"/>
      <c r="IV6" s="120" t="s">
        <v>43</v>
      </c>
    </row>
    <row r="7" ht="26.4">
      <c r="A7" s="361"/>
      <c r="B7" s="363"/>
      <c r="C7" s="365"/>
      <c r="D7" s="367"/>
      <c r="E7" s="126" t="s">
        <v>44</v>
      </c>
      <c r="F7" s="127"/>
      <c r="G7" s="128"/>
      <c r="IS7" s="6" t="s">
        <v>45</v>
      </c>
      <c r="IT7" s="120"/>
      <c r="IU7" s="120"/>
      <c r="IV7" s="120" t="s">
        <v>46</v>
      </c>
    </row>
    <row r="8">
      <c r="A8" s="328" t="s">
        <v>47</v>
      </c>
      <c r="B8" s="328"/>
      <c r="C8" s="328"/>
      <c r="D8" s="328"/>
      <c r="E8" s="328"/>
      <c r="F8" s="328"/>
      <c r="G8" s="328"/>
      <c r="IT8" s="120"/>
      <c r="IU8" s="120"/>
      <c r="IV8" s="120"/>
    </row>
    <row r="9" ht="52.8">
      <c r="A9" s="121" t="s">
        <v>48</v>
      </c>
      <c r="B9" s="329" t="s">
        <v>49</v>
      </c>
      <c r="C9" s="329"/>
      <c r="D9" s="124" t="s">
        <v>50</v>
      </c>
      <c r="E9" s="329" t="s">
        <v>51</v>
      </c>
      <c r="F9" s="329"/>
      <c r="G9" s="330"/>
      <c r="IT9" s="120"/>
      <c r="IU9" s="120"/>
      <c r="IV9" s="120" t="s">
        <v>52</v>
      </c>
    </row>
    <row r="10">
      <c r="A10" s="129"/>
      <c r="B10" s="129"/>
      <c r="C10" s="129"/>
      <c r="D10" s="129"/>
      <c r="E10" s="129"/>
      <c r="F10" s="129"/>
      <c r="G10" s="129"/>
      <c r="IT10" s="120"/>
      <c r="IU10" s="120"/>
      <c r="IV10" s="120" t="s">
        <v>53</v>
      </c>
    </row>
    <row r="11">
      <c r="A11" s="130" t="s">
        <v>54</v>
      </c>
      <c r="B11" s="130"/>
      <c r="C11" s="129"/>
      <c r="D11" s="129"/>
      <c r="E11" s="129"/>
      <c r="F11" s="129"/>
      <c r="G11" s="129"/>
      <c r="IT11" s="120"/>
      <c r="IU11" s="120"/>
      <c r="IV11" s="120"/>
    </row>
    <row r="12">
      <c r="A12" s="331" t="s">
        <v>55</v>
      </c>
      <c r="B12" s="122"/>
      <c r="C12" s="333" t="s">
        <v>56</v>
      </c>
      <c r="D12" s="335"/>
      <c r="E12" s="337" t="s">
        <v>57</v>
      </c>
      <c r="F12" s="339"/>
      <c r="G12" s="340"/>
      <c r="IT12" s="120"/>
      <c r="IU12" s="120"/>
      <c r="IV12" s="120"/>
    </row>
    <row r="13">
      <c r="A13" s="332"/>
      <c r="B13" s="131"/>
      <c r="C13" s="334"/>
      <c r="D13" s="336"/>
      <c r="E13" s="338"/>
      <c r="F13" s="341"/>
      <c r="G13" s="342"/>
      <c r="IT13" s="120"/>
      <c r="IU13" s="120"/>
      <c r="IV13" s="120"/>
    </row>
    <row r="14" ht="40.8">
      <c r="A14" s="343" t="s">
        <v>58</v>
      </c>
      <c r="B14" s="344"/>
      <c r="C14" s="122"/>
      <c r="D14" s="124" t="s">
        <v>59</v>
      </c>
      <c r="E14" s="345" t="s">
        <v>60</v>
      </c>
      <c r="F14" s="346"/>
      <c r="G14" s="347"/>
      <c r="IT14" s="120"/>
      <c r="IU14" s="120"/>
      <c r="IV14" s="120" t="s">
        <v>61</v>
      </c>
    </row>
    <row r="15" ht="81.6">
      <c r="A15" s="121" t="s">
        <v>62</v>
      </c>
      <c r="B15" s="348"/>
      <c r="C15" s="349"/>
      <c r="D15" s="124" t="s">
        <v>63</v>
      </c>
      <c r="E15" s="122"/>
      <c r="F15" s="124" t="s">
        <v>64</v>
      </c>
      <c r="G15" s="132"/>
      <c r="IU15" s="120"/>
      <c r="IV15" s="120" t="s">
        <v>65</v>
      </c>
    </row>
    <row r="16">
      <c r="A16" s="133" t="s">
        <v>66</v>
      </c>
      <c r="B16" s="350"/>
      <c r="C16" s="351"/>
      <c r="D16" s="351"/>
      <c r="E16" s="351"/>
      <c r="F16" s="351"/>
      <c r="G16" s="352"/>
      <c r="IT16" s="120"/>
      <c r="IU16" s="120"/>
      <c r="IV16" s="134" t="s">
        <v>67</v>
      </c>
    </row>
    <row r="17">
      <c r="A17" s="129"/>
      <c r="B17" s="129"/>
      <c r="C17" s="129"/>
      <c r="D17" s="129"/>
      <c r="E17" s="129"/>
      <c r="F17" s="129"/>
      <c r="G17" s="129"/>
    </row>
    <row r="18">
      <c r="A18" s="130" t="s">
        <v>68</v>
      </c>
      <c r="B18" s="129"/>
      <c r="C18" s="129"/>
      <c r="D18" s="129"/>
      <c r="E18" s="129"/>
      <c r="F18" s="129"/>
      <c r="G18" s="129"/>
      <c r="IV18" s="134" t="s">
        <v>69</v>
      </c>
    </row>
    <row r="19">
      <c r="A19" s="353" t="s">
        <v>70</v>
      </c>
      <c r="B19" s="354"/>
      <c r="C19" s="135"/>
      <c r="D19" s="136"/>
      <c r="E19" s="136"/>
      <c r="F19" s="129"/>
      <c r="G19" s="129"/>
      <c r="IV19" s="134" t="s">
        <v>71</v>
      </c>
    </row>
    <row r="20" ht="12.75" customHeight="1">
      <c r="A20" s="326" t="s">
        <v>72</v>
      </c>
      <c r="B20" s="327"/>
      <c r="C20" s="137">
        <f>SUM(C21:C24)</f>
        <v>8</v>
      </c>
      <c r="D20" s="138"/>
      <c r="E20" s="138"/>
      <c r="F20" s="129"/>
      <c r="G20" s="129"/>
      <c r="IV20" s="134" t="s">
        <v>73</v>
      </c>
    </row>
    <row r="21" ht="12.75" customHeight="1">
      <c r="A21" s="316" t="s">
        <v>74</v>
      </c>
      <c r="B21" s="317"/>
      <c r="C21" s="137">
        <f>COUNTIF(Trip!L:L,"Pass")</f>
        <v>8</v>
      </c>
      <c r="D21" s="138"/>
      <c r="E21" s="138"/>
      <c r="F21" s="129"/>
      <c r="G21" s="129"/>
    </row>
    <row r="22">
      <c r="A22" s="318" t="s">
        <v>75</v>
      </c>
      <c r="B22" s="319"/>
      <c r="C22" s="137">
        <f>COUNTIF(Trip!L:L,"Block")</f>
        <v>0</v>
      </c>
      <c r="D22" s="138"/>
      <c r="E22" s="138"/>
      <c r="F22" s="129"/>
      <c r="G22" s="129"/>
    </row>
    <row r="23">
      <c r="A23" s="320" t="s">
        <v>76</v>
      </c>
      <c r="B23" s="321"/>
      <c r="C23" s="137">
        <f>COUNTIF(Trip!L:L,"Fail")</f>
        <v>0</v>
      </c>
      <c r="D23" s="138"/>
      <c r="E23" s="138"/>
      <c r="F23" s="129"/>
      <c r="G23" s="129"/>
    </row>
    <row r="24">
      <c r="A24" s="324" t="s">
        <v>77</v>
      </c>
      <c r="B24" s="325"/>
      <c r="C24" s="137">
        <f>COUNTIF(Trip!L:L,"NA")</f>
        <v>0</v>
      </c>
      <c r="D24" s="138"/>
      <c r="E24" s="138"/>
      <c r="F24" s="129"/>
      <c r="G24" s="129"/>
    </row>
    <row r="25">
      <c r="A25" s="322" t="s">
        <v>78</v>
      </c>
      <c r="B25" s="323"/>
      <c r="C25" s="137">
        <f>SUM(C26:C29)</f>
        <v>0</v>
      </c>
      <c r="D25" s="138"/>
      <c r="E25" s="138"/>
      <c r="F25" s="129"/>
      <c r="G25" s="129"/>
    </row>
    <row r="26">
      <c r="A26" s="312" t="s">
        <v>79</v>
      </c>
      <c r="B26" s="313"/>
      <c r="C26" s="137">
        <v>0</v>
      </c>
      <c r="D26" s="138"/>
      <c r="E26" s="138"/>
      <c r="F26" s="129"/>
      <c r="G26" s="129"/>
    </row>
    <row r="27">
      <c r="A27" s="312" t="s">
        <v>80</v>
      </c>
      <c r="B27" s="313"/>
      <c r="C27" s="137">
        <v>0</v>
      </c>
      <c r="D27" s="138"/>
      <c r="E27" s="138"/>
      <c r="F27" s="129"/>
      <c r="G27" s="129"/>
    </row>
    <row r="28">
      <c r="A28" s="312" t="s">
        <v>81</v>
      </c>
      <c r="B28" s="313"/>
      <c r="C28" s="139">
        <v>0</v>
      </c>
      <c r="D28" s="138"/>
      <c r="E28" s="138"/>
      <c r="F28" s="129"/>
      <c r="G28" s="129"/>
    </row>
    <row r="29">
      <c r="A29" s="314" t="s">
        <v>82</v>
      </c>
      <c r="B29" s="315"/>
      <c r="C29" s="140">
        <v>0</v>
      </c>
      <c r="D29" s="138"/>
      <c r="E29" s="138"/>
      <c r="F29" s="129"/>
      <c r="G29" s="129"/>
    </row>
  </sheetData>
  <mergeCells>
    <mergeCell ref="B4:G4"/>
    <mergeCell ref="F5:G5"/>
    <mergeCell ref="A6:A7"/>
    <mergeCell ref="B6:B7"/>
    <mergeCell ref="C6:C7"/>
    <mergeCell ref="D6:D7"/>
    <mergeCell ref="A20:B20"/>
    <mergeCell ref="A8:G8"/>
    <mergeCell ref="B9:C9"/>
    <mergeCell ref="E9:G9"/>
    <mergeCell ref="A12:A13"/>
    <mergeCell ref="C12:C13"/>
    <mergeCell ref="D12:D13"/>
    <mergeCell ref="E12:E13"/>
    <mergeCell ref="F12:G13"/>
    <mergeCell ref="A14:B14"/>
    <mergeCell ref="E14:G14"/>
    <mergeCell ref="B15:C15"/>
    <mergeCell ref="B16:G16"/>
    <mergeCell ref="A19:B19"/>
    <mergeCell ref="A28:B28"/>
    <mergeCell ref="A29:B29"/>
    <mergeCell ref="A21:B21"/>
    <mergeCell ref="A22:B22"/>
    <mergeCell ref="A23:B23"/>
    <mergeCell ref="A25:B25"/>
    <mergeCell ref="A26:B26"/>
    <mergeCell ref="A27:B27"/>
    <mergeCell ref="A24:B24"/>
  </mergeCells>
  <phoneticPr fontId="6" type="noConversion"/>
  <dataValidations count="1">
    <dataValidation type="list" allowBlank="1" showInputMessage="1" showErrorMessage="1" sqref="B6" xr:uid="{00000000-0002-0000-0100-000000000000}">
      <formula1>$IV$1:$IV$4</formula1>
    </dataValidation>
  </dataValidations>
  <pageMargins left="0.7" right="0.7" top="0.75" bottom="0.75" header="0.3" footer="0.3"/>
  <pageSetup paperSize="9" orientation="portrait"/>
  <headerFooter/>
  <drawing r:id="rId1"/>
  <legacyDrawing r:id="rId2"/>
  <oleObjects>
    <mc:AlternateContent xmlns:mc="http://schemas.openxmlformats.org/markup-compatibility/2006">
      <mc:Choice Requires="x14">
        <oleObject progId="Word.Document.8" shapeId="13313" r:id="rId3">
          <objectPr defaultSize="0" autoPict="0" r:id="rId4">
            <anchor moveWithCells="1">
              <from>
                <xdr:col>2</xdr:col>
                <xdr:colOff>0</xdr:colOff>
                <xdr:row>0</xdr:row>
                <xdr:rowOff>22860</xdr:rowOff>
              </from>
              <to>
                <xdr:col>2</xdr:col>
                <xdr:colOff>0</xdr:colOff>
                <xdr:row>1</xdr:row>
                <xdr:rowOff>106680</xdr:rowOff>
              </to>
            </anchor>
          </objectPr>
        </oleObject>
      </mc:Choice>
      <mc:Fallback>
        <oleObject progId="Word.Document.8" shapeId="13313" r:id="rId3"/>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BA14C-CA40-4D24-BA25-A16D37B28776}">
  <sheetPr codeName="Sheet12"/>
  <dimension ref="A1:E542"/>
  <sheetViews>
    <sheetView topLeftCell="A10" zoomScaleNormal="100" workbookViewId="0">
      <selection activeCell="D16" sqref="D16"/>
    </sheetView>
  </sheetViews>
  <sheetFormatPr defaultColWidth="9.33203125" defaultRowHeight="14.4"/>
  <cols>
    <col min="1" max="1" width="32" customWidth="1" style="205"/>
    <col min="2" max="2" width="7.6640625" customWidth="1" style="204"/>
    <col min="3" max="3" width="22.6640625" customWidth="1" style="203"/>
    <col min="4" max="4" width="47.5546875" customWidth="1" style="203"/>
    <col min="5" max="5" width="41.33203125" customWidth="1" style="203"/>
    <col min="6" max="6" width="18.5546875" customWidth="1" style="203"/>
    <col min="7" max="7" bestFit="1" width="24.44140625" customWidth="1" style="203"/>
    <col min="8" max="8" width="36.6640625" customWidth="1" style="203"/>
    <col min="9" max="178" width="9.33203125" customWidth="1" style="203"/>
    <col min="179" max="16384" width="9.33203125" customWidth="1" style="203"/>
  </cols>
  <sheetData>
    <row r="1" ht="27" customHeight="1">
      <c r="A1" s="238" t="s">
        <v>83</v>
      </c>
      <c r="B1" s="238" t="s">
        <v>84</v>
      </c>
      <c r="C1" s="238" t="s">
        <v>85</v>
      </c>
      <c r="D1" s="238" t="s">
        <v>86</v>
      </c>
      <c r="E1" s="238" t="s">
        <v>87</v>
      </c>
    </row>
    <row r="2" ht="46.5" customHeight="1">
      <c r="A2" s="210"/>
      <c r="B2" s="368" t="s">
        <v>88</v>
      </c>
      <c r="C2" s="369"/>
      <c r="D2" s="369"/>
      <c r="E2" s="370"/>
    </row>
    <row r="3" ht="100.8">
      <c r="A3" s="235" t="s">
        <v>89</v>
      </c>
      <c r="B3" s="208"/>
      <c r="C3" s="210"/>
      <c r="D3" s="210"/>
      <c r="E3" s="237" t="s">
        <v>90</v>
      </c>
    </row>
    <row r="4">
      <c r="A4" s="213"/>
      <c r="B4" s="208" t="s">
        <v>91</v>
      </c>
      <c r="C4" s="210" t="s">
        <v>92</v>
      </c>
      <c r="D4" s="210" t="s">
        <v>93</v>
      </c>
      <c r="E4" s="210"/>
    </row>
    <row r="5">
      <c r="A5" s="213"/>
      <c r="B5" s="208" t="s">
        <v>91</v>
      </c>
      <c r="C5" s="210" t="s">
        <v>94</v>
      </c>
      <c r="D5" s="210" t="s">
        <v>95</v>
      </c>
      <c r="E5" s="210"/>
    </row>
    <row r="6">
      <c r="A6" s="213"/>
      <c r="B6" s="208" t="s">
        <v>91</v>
      </c>
      <c r="C6" s="210" t="s">
        <v>92</v>
      </c>
      <c r="D6" s="210" t="s">
        <v>96</v>
      </c>
      <c r="E6" s="210"/>
    </row>
    <row r="7">
      <c r="A7" s="213"/>
      <c r="B7" s="208" t="s">
        <v>91</v>
      </c>
      <c r="C7" s="210" t="s">
        <v>92</v>
      </c>
      <c r="D7" s="210" t="s">
        <v>97</v>
      </c>
      <c r="E7" s="210"/>
    </row>
    <row r="8">
      <c r="A8" s="213"/>
      <c r="B8" s="208" t="s">
        <v>91</v>
      </c>
      <c r="C8" s="210" t="s">
        <v>92</v>
      </c>
      <c r="D8" s="210" t="s">
        <v>98</v>
      </c>
      <c r="E8" s="210"/>
    </row>
    <row r="9">
      <c r="A9" s="213"/>
      <c r="B9" s="208" t="s">
        <v>91</v>
      </c>
      <c r="C9" s="210" t="s">
        <v>92</v>
      </c>
      <c r="D9" s="210" t="s">
        <v>99</v>
      </c>
      <c r="E9" s="210"/>
    </row>
    <row r="10">
      <c r="A10" s="213"/>
      <c r="B10" s="208" t="s">
        <v>91</v>
      </c>
      <c r="C10" s="210" t="s">
        <v>92</v>
      </c>
      <c r="D10" s="210" t="s">
        <v>100</v>
      </c>
      <c r="E10" s="210"/>
    </row>
    <row r="11">
      <c r="A11" s="213"/>
      <c r="B11" s="208" t="s">
        <v>91</v>
      </c>
      <c r="C11" s="210" t="s">
        <v>92</v>
      </c>
      <c r="D11" s="210" t="s">
        <v>101</v>
      </c>
      <c r="E11" s="210"/>
    </row>
    <row r="12">
      <c r="A12" s="213"/>
      <c r="B12" s="208" t="s">
        <v>91</v>
      </c>
      <c r="C12" s="210" t="s">
        <v>92</v>
      </c>
      <c r="D12" s="210" t="s">
        <v>102</v>
      </c>
      <c r="E12" s="210"/>
    </row>
    <row r="13">
      <c r="A13" s="213"/>
      <c r="B13" s="208" t="s">
        <v>91</v>
      </c>
      <c r="C13" s="210" t="s">
        <v>92</v>
      </c>
      <c r="D13" s="210" t="s">
        <v>103</v>
      </c>
      <c r="E13" s="210"/>
    </row>
    <row r="14">
      <c r="A14" s="213"/>
      <c r="B14" s="208" t="s">
        <v>91</v>
      </c>
      <c r="C14" s="210" t="s">
        <v>92</v>
      </c>
      <c r="D14" s="210" t="s">
        <v>104</v>
      </c>
      <c r="E14" s="210"/>
    </row>
    <row r="15">
      <c r="A15" s="213"/>
      <c r="B15" s="208" t="s">
        <v>91</v>
      </c>
      <c r="C15" s="210" t="s">
        <v>92</v>
      </c>
      <c r="D15" s="210" t="s">
        <v>105</v>
      </c>
      <c r="E15" s="210"/>
    </row>
    <row r="16">
      <c r="A16" s="213"/>
      <c r="B16" s="208" t="s">
        <v>91</v>
      </c>
      <c r="C16" s="210" t="s">
        <v>92</v>
      </c>
      <c r="D16" s="210" t="s">
        <v>106</v>
      </c>
      <c r="E16" s="210" t="s">
        <v>107</v>
      </c>
    </row>
    <row r="17">
      <c r="A17" s="213"/>
      <c r="B17" s="208" t="s">
        <v>91</v>
      </c>
      <c r="C17" s="210" t="s">
        <v>92</v>
      </c>
      <c r="D17" s="210" t="s">
        <v>108</v>
      </c>
      <c r="E17" s="210"/>
    </row>
    <row r="18">
      <c r="A18" s="213"/>
      <c r="B18" s="208" t="s">
        <v>91</v>
      </c>
      <c r="C18" s="210" t="s">
        <v>92</v>
      </c>
      <c r="D18" s="210" t="s">
        <v>109</v>
      </c>
      <c r="E18" s="210"/>
    </row>
    <row r="19">
      <c r="A19" s="213"/>
      <c r="B19" s="208" t="s">
        <v>91</v>
      </c>
      <c r="C19" s="210" t="s">
        <v>110</v>
      </c>
      <c r="D19" s="210" t="s">
        <v>111</v>
      </c>
      <c r="E19" s="210"/>
    </row>
    <row r="20" ht="72">
      <c r="A20" s="235" t="s">
        <v>112</v>
      </c>
      <c r="B20" s="208"/>
      <c r="C20" s="210"/>
      <c r="D20" s="210"/>
      <c r="E20" s="236" t="s">
        <v>113</v>
      </c>
    </row>
    <row r="21">
      <c r="A21" s="230"/>
      <c r="B21" s="208"/>
      <c r="C21" s="210"/>
      <c r="D21" s="210"/>
      <c r="E21" s="210"/>
    </row>
    <row r="22">
      <c r="A22" s="230"/>
      <c r="B22" s="208"/>
      <c r="C22" s="210"/>
      <c r="D22" s="210"/>
      <c r="E22" s="210"/>
    </row>
    <row r="23">
      <c r="A23" s="230"/>
      <c r="B23" s="208"/>
      <c r="C23" s="210"/>
      <c r="D23" s="210"/>
      <c r="E23" s="210"/>
    </row>
    <row r="24" ht="86.4">
      <c r="A24" s="235" t="s">
        <v>114</v>
      </c>
      <c r="B24" s="208"/>
      <c r="C24" s="210"/>
      <c r="D24" s="210"/>
      <c r="E24" s="234" t="s">
        <v>115</v>
      </c>
    </row>
    <row r="25">
      <c r="A25" s="230"/>
      <c r="B25" s="208"/>
      <c r="C25" s="210"/>
      <c r="D25" s="210"/>
      <c r="E25" s="234"/>
    </row>
    <row r="26" ht="86.4">
      <c r="A26" s="235" t="s">
        <v>116</v>
      </c>
      <c r="B26" s="208"/>
      <c r="C26" s="210"/>
      <c r="D26" s="210"/>
      <c r="E26" s="234" t="s">
        <v>117</v>
      </c>
    </row>
    <row r="27">
      <c r="A27" s="230"/>
      <c r="B27" s="208" t="s">
        <v>91</v>
      </c>
      <c r="C27" s="210" t="s">
        <v>118</v>
      </c>
      <c r="D27" s="210" t="s">
        <v>119</v>
      </c>
      <c r="E27" s="234"/>
    </row>
    <row r="28">
      <c r="A28" s="230"/>
      <c r="B28" s="208" t="s">
        <v>91</v>
      </c>
      <c r="C28" s="210" t="s">
        <v>118</v>
      </c>
      <c r="D28" s="210" t="s">
        <v>120</v>
      </c>
      <c r="E28" s="234"/>
    </row>
    <row r="29">
      <c r="A29" s="230"/>
      <c r="B29" s="208" t="s">
        <v>91</v>
      </c>
      <c r="C29" s="210" t="s">
        <v>118</v>
      </c>
      <c r="D29" s="210" t="s">
        <v>121</v>
      </c>
      <c r="E29" s="234"/>
    </row>
    <row r="30">
      <c r="A30" s="230"/>
      <c r="B30" s="208" t="s">
        <v>91</v>
      </c>
      <c r="C30" s="210" t="s">
        <v>118</v>
      </c>
      <c r="D30" s="210" t="s">
        <v>122</v>
      </c>
      <c r="E30" s="234"/>
    </row>
    <row r="31">
      <c r="A31" s="230"/>
      <c r="B31" s="208" t="s">
        <v>91</v>
      </c>
      <c r="C31" s="210" t="s">
        <v>123</v>
      </c>
      <c r="D31" s="210" t="s">
        <v>124</v>
      </c>
      <c r="E31" s="234"/>
    </row>
    <row r="32">
      <c r="A32" s="230"/>
      <c r="B32" s="208" t="s">
        <v>91</v>
      </c>
      <c r="C32" s="210" t="s">
        <v>123</v>
      </c>
      <c r="D32" s="210" t="s">
        <v>125</v>
      </c>
      <c r="E32" s="234"/>
    </row>
    <row r="33">
      <c r="A33" s="230"/>
      <c r="B33" s="208" t="s">
        <v>91</v>
      </c>
      <c r="C33" s="210" t="s">
        <v>123</v>
      </c>
      <c r="D33" s="210" t="s">
        <v>126</v>
      </c>
      <c r="E33" s="234"/>
    </row>
    <row r="34">
      <c r="A34" s="230"/>
      <c r="B34" s="208"/>
      <c r="C34" s="210"/>
      <c r="D34" s="210"/>
      <c r="E34" s="234"/>
    </row>
    <row r="35" ht="33.75" customHeight="1">
      <c r="A35" s="230"/>
      <c r="B35" s="371" t="s">
        <v>127</v>
      </c>
      <c r="C35" s="372"/>
      <c r="D35" s="372"/>
      <c r="E35" s="373"/>
    </row>
    <row r="36">
      <c r="A36" s="213"/>
      <c r="B36" s="208"/>
      <c r="C36" s="210"/>
      <c r="D36" s="210"/>
      <c r="E36" s="210"/>
    </row>
    <row r="37">
      <c r="A37" s="230" t="s">
        <v>128</v>
      </c>
      <c r="B37" s="208"/>
      <c r="C37" s="210"/>
      <c r="D37" s="210"/>
      <c r="E37" s="210"/>
    </row>
    <row r="38">
      <c r="A38" s="213"/>
      <c r="B38" s="208" t="s">
        <v>129</v>
      </c>
      <c r="C38" s="210" t="s">
        <v>130</v>
      </c>
      <c r="D38" s="232" t="s">
        <v>131</v>
      </c>
      <c r="E38" s="210"/>
    </row>
    <row r="39">
      <c r="A39" s="213"/>
      <c r="B39" s="208" t="s">
        <v>91</v>
      </c>
      <c r="C39" s="210" t="s">
        <v>130</v>
      </c>
      <c r="D39" s="231" t="s">
        <v>132</v>
      </c>
      <c r="E39" s="210"/>
    </row>
    <row r="40">
      <c r="A40" s="213"/>
      <c r="B40" s="208" t="s">
        <v>91</v>
      </c>
      <c r="C40" s="210" t="s">
        <v>130</v>
      </c>
      <c r="D40" s="231" t="s">
        <v>133</v>
      </c>
      <c r="E40" s="210"/>
    </row>
    <row r="41">
      <c r="A41" s="213"/>
      <c r="B41" s="208" t="s">
        <v>91</v>
      </c>
      <c r="C41" s="210" t="s">
        <v>130</v>
      </c>
      <c r="D41" s="231" t="s">
        <v>134</v>
      </c>
      <c r="E41" s="210"/>
    </row>
    <row r="42">
      <c r="A42" s="213"/>
      <c r="B42" s="208" t="s">
        <v>91</v>
      </c>
      <c r="C42" s="210" t="s">
        <v>130</v>
      </c>
      <c r="D42" s="233" t="s">
        <v>135</v>
      </c>
      <c r="E42" s="210"/>
    </row>
    <row r="43">
      <c r="A43" s="213"/>
      <c r="B43" s="208"/>
      <c r="C43" s="210"/>
      <c r="D43" s="210"/>
      <c r="E43" s="210"/>
    </row>
    <row r="44">
      <c r="A44" s="230" t="s">
        <v>136</v>
      </c>
      <c r="B44" s="208"/>
      <c r="C44" s="210"/>
      <c r="D44" s="210"/>
      <c r="E44" s="210"/>
    </row>
    <row r="45">
      <c r="A45" s="213"/>
      <c r="B45" s="208" t="s">
        <v>91</v>
      </c>
      <c r="C45" s="210" t="s">
        <v>137</v>
      </c>
      <c r="D45" s="210" t="s">
        <v>138</v>
      </c>
      <c r="E45" s="210"/>
    </row>
    <row r="46">
      <c r="A46" s="213"/>
      <c r="B46" s="208" t="s">
        <v>91</v>
      </c>
      <c r="C46" s="210" t="s">
        <v>139</v>
      </c>
      <c r="D46" s="210" t="s">
        <v>140</v>
      </c>
      <c r="E46" s="210"/>
    </row>
    <row r="47">
      <c r="A47" s="213"/>
      <c r="B47" s="208"/>
      <c r="C47" s="210"/>
      <c r="D47" s="210"/>
      <c r="E47" s="210"/>
    </row>
    <row r="48">
      <c r="A48" s="213" t="s">
        <v>131</v>
      </c>
      <c r="B48" s="208"/>
      <c r="C48" s="210"/>
      <c r="D48" s="210"/>
      <c r="E48" s="210"/>
    </row>
    <row r="49">
      <c r="A49" s="213"/>
      <c r="B49" s="208" t="s">
        <v>91</v>
      </c>
      <c r="C49" s="210" t="s">
        <v>130</v>
      </c>
      <c r="D49" s="210" t="s">
        <v>136</v>
      </c>
      <c r="E49" s="210"/>
    </row>
    <row r="50">
      <c r="A50" s="230"/>
      <c r="B50" s="208" t="s">
        <v>91</v>
      </c>
      <c r="C50" s="210" t="s">
        <v>141</v>
      </c>
      <c r="D50" s="232">
        <v>13.5</v>
      </c>
      <c r="E50" s="210"/>
    </row>
    <row r="51">
      <c r="A51" s="230"/>
      <c r="B51" s="208"/>
      <c r="C51" s="210"/>
      <c r="D51" s="210"/>
      <c r="E51" s="210"/>
    </row>
    <row r="52">
      <c r="A52" s="230" t="s">
        <v>132</v>
      </c>
      <c r="B52" s="208"/>
      <c r="C52" s="210"/>
      <c r="D52" s="210"/>
      <c r="E52" s="210"/>
    </row>
    <row r="53">
      <c r="A53" s="230"/>
      <c r="B53" s="208" t="s">
        <v>91</v>
      </c>
      <c r="C53" s="210" t="s">
        <v>142</v>
      </c>
      <c r="D53" s="210" t="s">
        <v>143</v>
      </c>
      <c r="E53" s="210"/>
    </row>
    <row r="54">
      <c r="A54" s="230"/>
      <c r="B54" s="208" t="s">
        <v>91</v>
      </c>
      <c r="C54" s="210" t="s">
        <v>144</v>
      </c>
      <c r="D54" s="210" t="s">
        <v>145</v>
      </c>
      <c r="E54" s="210"/>
    </row>
    <row r="55">
      <c r="A55" s="230"/>
      <c r="B55" s="208"/>
      <c r="C55" s="210"/>
      <c r="D55" s="210"/>
      <c r="E55" s="210"/>
    </row>
    <row r="56">
      <c r="A56" s="230" t="s">
        <v>133</v>
      </c>
      <c r="B56" s="208"/>
      <c r="C56" s="210"/>
      <c r="D56" s="210"/>
      <c r="E56" s="210"/>
    </row>
    <row r="57">
      <c r="A57" s="230"/>
      <c r="B57" s="208" t="s">
        <v>129</v>
      </c>
      <c r="C57" s="210" t="s">
        <v>146</v>
      </c>
      <c r="D57" s="231">
        <v>1</v>
      </c>
      <c r="E57" s="210"/>
    </row>
    <row r="58">
      <c r="A58" s="230"/>
      <c r="B58" s="208" t="s">
        <v>91</v>
      </c>
      <c r="C58" s="210" t="s">
        <v>147</v>
      </c>
      <c r="D58" s="210" t="s">
        <v>148</v>
      </c>
      <c r="E58" s="210"/>
    </row>
    <row r="59">
      <c r="A59" s="230"/>
      <c r="B59" s="208" t="s">
        <v>91</v>
      </c>
      <c r="C59" s="210" t="s">
        <v>144</v>
      </c>
      <c r="D59" s="210" t="s">
        <v>149</v>
      </c>
      <c r="E59" s="210"/>
    </row>
    <row r="60">
      <c r="A60" s="230"/>
      <c r="B60" s="208"/>
      <c r="C60" s="210"/>
      <c r="D60" s="210"/>
      <c r="E60" s="210"/>
    </row>
    <row r="61" s="224" customFormat="1">
      <c r="A61" s="229" t="s">
        <v>134</v>
      </c>
      <c r="B61" s="223"/>
      <c r="C61" s="222"/>
      <c r="D61" s="226"/>
      <c r="E61" s="228"/>
    </row>
    <row r="62" s="224" customFormat="1">
      <c r="A62" s="229"/>
      <c r="B62" s="223" t="s">
        <v>91</v>
      </c>
      <c r="C62" s="222" t="s">
        <v>150</v>
      </c>
      <c r="D62" s="226" t="s">
        <v>151</v>
      </c>
      <c r="E62" s="228"/>
    </row>
    <row r="63" s="224" customFormat="1">
      <c r="A63" s="229"/>
      <c r="B63" s="223" t="s">
        <v>91</v>
      </c>
      <c r="C63" s="222" t="s">
        <v>150</v>
      </c>
      <c r="D63" s="226" t="s">
        <v>152</v>
      </c>
      <c r="E63" s="228"/>
    </row>
    <row r="64" s="224" customFormat="1">
      <c r="A64" s="229"/>
      <c r="B64" s="223" t="s">
        <v>91</v>
      </c>
      <c r="C64" s="222" t="s">
        <v>150</v>
      </c>
      <c r="D64" s="226" t="s">
        <v>153</v>
      </c>
      <c r="E64" s="228"/>
    </row>
    <row r="65" s="224" customFormat="1">
      <c r="A65" s="229"/>
      <c r="B65" s="223" t="s">
        <v>91</v>
      </c>
      <c r="C65" s="222" t="s">
        <v>150</v>
      </c>
      <c r="D65" s="226" t="s">
        <v>154</v>
      </c>
      <c r="E65" s="228"/>
    </row>
    <row r="66" s="224" customFormat="1">
      <c r="A66" s="222"/>
      <c r="B66" s="223" t="s">
        <v>91</v>
      </c>
      <c r="C66" s="222" t="s">
        <v>150</v>
      </c>
      <c r="D66" s="222" t="s">
        <v>155</v>
      </c>
      <c r="E66" s="222"/>
    </row>
    <row r="67" s="224" customFormat="1">
      <c r="A67" s="222"/>
      <c r="B67" s="223" t="s">
        <v>91</v>
      </c>
      <c r="C67" s="222" t="s">
        <v>150</v>
      </c>
      <c r="D67" s="222" t="s">
        <v>156</v>
      </c>
      <c r="E67" s="222"/>
    </row>
    <row r="68" s="224" customFormat="1">
      <c r="A68" s="222"/>
      <c r="B68" s="223" t="s">
        <v>91</v>
      </c>
      <c r="C68" s="222" t="s">
        <v>150</v>
      </c>
      <c r="D68" s="225" t="s">
        <v>157</v>
      </c>
      <c r="E68" s="222"/>
    </row>
    <row r="69" s="224" customFormat="1">
      <c r="A69" s="222"/>
      <c r="B69" s="223" t="s">
        <v>91</v>
      </c>
      <c r="C69" s="222" t="s">
        <v>150</v>
      </c>
      <c r="D69" s="224" t="s">
        <v>158</v>
      </c>
      <c r="E69" s="222"/>
    </row>
    <row r="70" s="224" customFormat="1">
      <c r="A70" s="222"/>
      <c r="B70" s="223" t="s">
        <v>91</v>
      </c>
      <c r="C70" s="222" t="s">
        <v>150</v>
      </c>
      <c r="D70" s="224" t="s">
        <v>159</v>
      </c>
      <c r="E70" s="222"/>
    </row>
    <row r="71">
      <c r="A71" s="210"/>
      <c r="B71" s="223" t="s">
        <v>91</v>
      </c>
      <c r="C71" s="222" t="s">
        <v>150</v>
      </c>
      <c r="D71" s="210" t="s">
        <v>160</v>
      </c>
      <c r="E71" s="210"/>
    </row>
    <row r="72">
      <c r="A72" s="210"/>
      <c r="B72" s="223" t="s">
        <v>91</v>
      </c>
      <c r="C72" s="222" t="s">
        <v>150</v>
      </c>
      <c r="D72" s="210" t="s">
        <v>161</v>
      </c>
      <c r="E72" s="210"/>
    </row>
    <row r="73">
      <c r="A73" s="210"/>
      <c r="B73" s="223" t="s">
        <v>91</v>
      </c>
      <c r="C73" s="222" t="s">
        <v>150</v>
      </c>
      <c r="D73" s="210" t="s">
        <v>162</v>
      </c>
      <c r="E73" s="210"/>
    </row>
    <row r="74">
      <c r="A74" s="210"/>
      <c r="B74" s="223" t="s">
        <v>91</v>
      </c>
      <c r="C74" s="222" t="s">
        <v>150</v>
      </c>
      <c r="D74" s="210" t="s">
        <v>163</v>
      </c>
      <c r="E74" s="210"/>
    </row>
    <row r="75">
      <c r="A75" s="210"/>
      <c r="B75" s="223" t="s">
        <v>91</v>
      </c>
      <c r="C75" s="222" t="s">
        <v>150</v>
      </c>
      <c r="D75" s="210" t="s">
        <v>164</v>
      </c>
      <c r="E75" s="210"/>
    </row>
    <row r="76">
      <c r="A76" s="210"/>
      <c r="B76" s="223" t="s">
        <v>91</v>
      </c>
      <c r="C76" s="222" t="s">
        <v>150</v>
      </c>
      <c r="D76" s="210" t="s">
        <v>165</v>
      </c>
      <c r="E76" s="210"/>
    </row>
    <row r="77">
      <c r="A77" s="210"/>
      <c r="B77" s="223" t="s">
        <v>91</v>
      </c>
      <c r="C77" s="222" t="s">
        <v>150</v>
      </c>
      <c r="D77" s="210" t="s">
        <v>166</v>
      </c>
      <c r="E77" s="210"/>
    </row>
    <row r="78">
      <c r="A78" s="210"/>
      <c r="B78" s="223" t="s">
        <v>91</v>
      </c>
      <c r="C78" s="222" t="s">
        <v>150</v>
      </c>
      <c r="D78" s="210" t="s">
        <v>167</v>
      </c>
      <c r="E78" s="210"/>
    </row>
    <row r="79">
      <c r="A79" s="210"/>
      <c r="B79" s="223" t="s">
        <v>91</v>
      </c>
      <c r="C79" s="222" t="s">
        <v>150</v>
      </c>
      <c r="D79" s="210" t="s">
        <v>168</v>
      </c>
      <c r="E79" s="210"/>
    </row>
    <row r="80">
      <c r="A80" s="210"/>
      <c r="B80" s="223" t="s">
        <v>91</v>
      </c>
      <c r="C80" s="222" t="s">
        <v>150</v>
      </c>
      <c r="D80" s="210" t="s">
        <v>169</v>
      </c>
      <c r="E80" s="210"/>
    </row>
    <row r="81">
      <c r="A81" s="210"/>
      <c r="B81" s="223" t="s">
        <v>91</v>
      </c>
      <c r="C81" s="222" t="s">
        <v>150</v>
      </c>
      <c r="D81" s="210" t="s">
        <v>170</v>
      </c>
      <c r="E81" s="210"/>
    </row>
    <row r="82">
      <c r="A82" s="210"/>
      <c r="B82" s="223" t="s">
        <v>91</v>
      </c>
      <c r="C82" s="222" t="s">
        <v>150</v>
      </c>
      <c r="D82" s="210" t="s">
        <v>171</v>
      </c>
      <c r="E82" s="210"/>
    </row>
    <row r="83">
      <c r="A83" s="210"/>
      <c r="B83" s="223" t="s">
        <v>91</v>
      </c>
      <c r="C83" s="222" t="s">
        <v>150</v>
      </c>
      <c r="D83" s="210" t="s">
        <v>172</v>
      </c>
      <c r="E83" s="210"/>
    </row>
    <row r="84">
      <c r="A84" s="210"/>
      <c r="B84" s="223" t="s">
        <v>91</v>
      </c>
      <c r="C84" s="222" t="s">
        <v>150</v>
      </c>
      <c r="D84" s="210" t="s">
        <v>173</v>
      </c>
      <c r="E84" s="210"/>
    </row>
    <row r="85">
      <c r="A85" s="210"/>
      <c r="B85" s="223" t="s">
        <v>91</v>
      </c>
      <c r="C85" s="222" t="s">
        <v>150</v>
      </c>
      <c r="D85" s="210" t="s">
        <v>174</v>
      </c>
      <c r="E85" s="210"/>
    </row>
    <row r="86">
      <c r="A86" s="210"/>
      <c r="B86" s="223" t="s">
        <v>91</v>
      </c>
      <c r="C86" s="222" t="s">
        <v>150</v>
      </c>
      <c r="D86" s="210" t="s">
        <v>175</v>
      </c>
      <c r="E86" s="210"/>
    </row>
    <row r="87">
      <c r="A87" s="210"/>
      <c r="B87" s="223" t="s">
        <v>91</v>
      </c>
      <c r="C87" s="222" t="s">
        <v>150</v>
      </c>
      <c r="D87" s="210" t="s">
        <v>176</v>
      </c>
      <c r="E87" s="210"/>
    </row>
    <row r="88">
      <c r="A88" s="210"/>
      <c r="B88" s="223" t="s">
        <v>91</v>
      </c>
      <c r="C88" s="222" t="s">
        <v>150</v>
      </c>
      <c r="D88" s="210" t="s">
        <v>177</v>
      </c>
      <c r="E88" s="210"/>
    </row>
    <row r="89">
      <c r="A89" s="210"/>
      <c r="B89" s="223" t="s">
        <v>91</v>
      </c>
      <c r="C89" s="222" t="s">
        <v>150</v>
      </c>
      <c r="D89" s="210" t="s">
        <v>178</v>
      </c>
      <c r="E89" s="210"/>
    </row>
    <row r="90">
      <c r="A90" s="210"/>
      <c r="B90" s="223" t="s">
        <v>91</v>
      </c>
      <c r="C90" s="222" t="s">
        <v>150</v>
      </c>
      <c r="D90" s="210" t="s">
        <v>179</v>
      </c>
      <c r="E90" s="210"/>
    </row>
    <row r="91">
      <c r="A91" s="210"/>
      <c r="B91" s="223" t="s">
        <v>91</v>
      </c>
      <c r="C91" s="222" t="s">
        <v>150</v>
      </c>
      <c r="D91" s="210" t="s">
        <v>180</v>
      </c>
      <c r="E91" s="210"/>
    </row>
    <row r="92">
      <c r="A92" s="210"/>
      <c r="B92" s="223" t="s">
        <v>91</v>
      </c>
      <c r="C92" s="222" t="s">
        <v>150</v>
      </c>
      <c r="D92" s="210" t="s">
        <v>181</v>
      </c>
      <c r="E92" s="210"/>
    </row>
    <row r="93">
      <c r="A93" s="210"/>
      <c r="B93" s="223" t="s">
        <v>91</v>
      </c>
      <c r="C93" s="222" t="s">
        <v>150</v>
      </c>
      <c r="D93" s="210" t="s">
        <v>182</v>
      </c>
      <c r="E93" s="210"/>
    </row>
    <row r="94">
      <c r="A94" s="210"/>
      <c r="B94" s="223" t="s">
        <v>91</v>
      </c>
      <c r="C94" s="222" t="s">
        <v>150</v>
      </c>
      <c r="D94" s="210" t="s">
        <v>183</v>
      </c>
      <c r="E94" s="210"/>
    </row>
    <row r="95">
      <c r="A95" s="210"/>
      <c r="B95" s="223" t="s">
        <v>91</v>
      </c>
      <c r="C95" s="222" t="s">
        <v>150</v>
      </c>
      <c r="D95" s="210" t="s">
        <v>184</v>
      </c>
      <c r="E95" s="210"/>
    </row>
    <row r="96">
      <c r="A96" s="210"/>
      <c r="B96" s="223" t="s">
        <v>91</v>
      </c>
      <c r="C96" s="222" t="s">
        <v>150</v>
      </c>
      <c r="D96" s="210" t="s">
        <v>185</v>
      </c>
      <c r="E96" s="210"/>
    </row>
    <row r="97">
      <c r="A97" s="210"/>
      <c r="B97" s="223" t="s">
        <v>91</v>
      </c>
      <c r="C97" s="222" t="s">
        <v>150</v>
      </c>
      <c r="D97" s="210" t="s">
        <v>186</v>
      </c>
      <c r="E97" s="210"/>
    </row>
    <row r="98">
      <c r="A98" s="210"/>
      <c r="B98" s="223" t="s">
        <v>91</v>
      </c>
      <c r="C98" s="222" t="s">
        <v>150</v>
      </c>
      <c r="D98" s="210" t="s">
        <v>187</v>
      </c>
      <c r="E98" s="210"/>
    </row>
    <row r="99">
      <c r="A99" s="210"/>
      <c r="B99" s="223" t="s">
        <v>91</v>
      </c>
      <c r="C99" s="222" t="s">
        <v>150</v>
      </c>
      <c r="D99" s="210" t="s">
        <v>188</v>
      </c>
      <c r="E99" s="210"/>
    </row>
    <row r="100">
      <c r="A100" s="210"/>
      <c r="B100" s="223" t="s">
        <v>91</v>
      </c>
      <c r="C100" s="222" t="s">
        <v>150</v>
      </c>
      <c r="D100" s="210" t="s">
        <v>189</v>
      </c>
      <c r="E100" s="210"/>
    </row>
    <row r="101">
      <c r="A101" s="210"/>
      <c r="B101" s="223" t="s">
        <v>91</v>
      </c>
      <c r="C101" s="222" t="s">
        <v>150</v>
      </c>
      <c r="D101" s="210" t="s">
        <v>190</v>
      </c>
      <c r="E101" s="210"/>
    </row>
    <row r="102">
      <c r="A102" s="210"/>
      <c r="B102" s="223" t="s">
        <v>91</v>
      </c>
      <c r="C102" s="222" t="s">
        <v>150</v>
      </c>
      <c r="D102" s="210" t="s">
        <v>191</v>
      </c>
      <c r="E102" s="210"/>
    </row>
    <row r="103">
      <c r="A103" s="210"/>
      <c r="B103" s="223" t="s">
        <v>91</v>
      </c>
      <c r="C103" s="222" t="s">
        <v>150</v>
      </c>
      <c r="D103" s="210" t="s">
        <v>192</v>
      </c>
      <c r="E103" s="210"/>
    </row>
    <row r="104">
      <c r="A104" s="210"/>
      <c r="B104" s="223" t="s">
        <v>91</v>
      </c>
      <c r="C104" s="222" t="s">
        <v>150</v>
      </c>
      <c r="D104" s="210" t="s">
        <v>193</v>
      </c>
      <c r="E104" s="210"/>
    </row>
    <row r="105">
      <c r="A105" s="210"/>
      <c r="B105" s="223" t="s">
        <v>91</v>
      </c>
      <c r="C105" s="222" t="s">
        <v>150</v>
      </c>
      <c r="D105" s="210" t="s">
        <v>194</v>
      </c>
      <c r="E105" s="210"/>
    </row>
    <row r="106">
      <c r="A106" s="210"/>
      <c r="B106" s="223" t="s">
        <v>91</v>
      </c>
      <c r="C106" s="222" t="s">
        <v>150</v>
      </c>
      <c r="D106" s="210" t="s">
        <v>195</v>
      </c>
      <c r="E106" s="210"/>
    </row>
    <row r="107">
      <c r="A107" s="210"/>
      <c r="B107" s="223" t="s">
        <v>91</v>
      </c>
      <c r="C107" s="222" t="s">
        <v>150</v>
      </c>
      <c r="D107" s="210" t="s">
        <v>196</v>
      </c>
      <c r="E107" s="210"/>
    </row>
    <row r="108">
      <c r="A108" s="210"/>
      <c r="B108" s="223" t="s">
        <v>91</v>
      </c>
      <c r="C108" s="222" t="s">
        <v>150</v>
      </c>
      <c r="D108" s="210" t="s">
        <v>197</v>
      </c>
      <c r="E108" s="210"/>
    </row>
    <row r="109">
      <c r="A109" s="210"/>
      <c r="B109" s="223" t="s">
        <v>91</v>
      </c>
      <c r="C109" s="222" t="s">
        <v>150</v>
      </c>
      <c r="D109" s="210" t="s">
        <v>198</v>
      </c>
      <c r="E109" s="210"/>
    </row>
    <row r="110">
      <c r="A110" s="210"/>
      <c r="B110" s="223" t="s">
        <v>91</v>
      </c>
      <c r="C110" s="222" t="s">
        <v>150</v>
      </c>
      <c r="D110" s="210" t="s">
        <v>199</v>
      </c>
      <c r="E110" s="210"/>
    </row>
    <row r="111">
      <c r="A111" s="210"/>
      <c r="B111" s="223" t="s">
        <v>91</v>
      </c>
      <c r="C111" s="222" t="s">
        <v>150</v>
      </c>
      <c r="D111" s="210" t="s">
        <v>200</v>
      </c>
      <c r="E111" s="210"/>
    </row>
    <row r="112">
      <c r="A112" s="210"/>
      <c r="B112" s="223" t="s">
        <v>91</v>
      </c>
      <c r="C112" s="222" t="s">
        <v>150</v>
      </c>
      <c r="D112" s="210" t="s">
        <v>201</v>
      </c>
      <c r="E112" s="210"/>
    </row>
    <row r="113">
      <c r="A113" s="210"/>
      <c r="B113" s="223" t="s">
        <v>91</v>
      </c>
      <c r="C113" s="222" t="s">
        <v>150</v>
      </c>
      <c r="D113" s="210" t="s">
        <v>202</v>
      </c>
      <c r="E113" s="210"/>
    </row>
    <row r="114">
      <c r="A114" s="210"/>
      <c r="B114" s="223" t="s">
        <v>91</v>
      </c>
      <c r="C114" s="222" t="s">
        <v>150</v>
      </c>
      <c r="D114" s="210" t="s">
        <v>203</v>
      </c>
      <c r="E114" s="210"/>
    </row>
    <row r="115">
      <c r="A115" s="210"/>
      <c r="B115" s="223" t="s">
        <v>91</v>
      </c>
      <c r="C115" s="222" t="s">
        <v>150</v>
      </c>
      <c r="D115" s="210" t="s">
        <v>204</v>
      </c>
      <c r="E115" s="210"/>
    </row>
    <row r="116">
      <c r="A116" s="210"/>
      <c r="B116" s="223" t="s">
        <v>91</v>
      </c>
      <c r="C116" s="222" t="s">
        <v>150</v>
      </c>
      <c r="D116" s="210" t="s">
        <v>205</v>
      </c>
      <c r="E116" s="210"/>
    </row>
    <row r="117">
      <c r="A117" s="210"/>
      <c r="B117" s="223" t="s">
        <v>91</v>
      </c>
      <c r="C117" s="222" t="s">
        <v>150</v>
      </c>
      <c r="D117" s="210" t="s">
        <v>206</v>
      </c>
      <c r="E117" s="210"/>
    </row>
    <row r="118">
      <c r="A118" s="210"/>
      <c r="B118" s="223" t="s">
        <v>91</v>
      </c>
      <c r="C118" s="222" t="s">
        <v>150</v>
      </c>
      <c r="D118" s="210" t="s">
        <v>207</v>
      </c>
      <c r="E118" s="210"/>
    </row>
    <row r="119">
      <c r="A119" s="210"/>
      <c r="B119" s="223" t="s">
        <v>91</v>
      </c>
      <c r="C119" s="222" t="s">
        <v>150</v>
      </c>
      <c r="D119" s="210" t="s">
        <v>208</v>
      </c>
      <c r="E119" s="210"/>
    </row>
    <row r="120">
      <c r="A120" s="210"/>
      <c r="B120" s="223" t="s">
        <v>91</v>
      </c>
      <c r="C120" s="222" t="s">
        <v>150</v>
      </c>
      <c r="D120" s="210" t="s">
        <v>209</v>
      </c>
      <c r="E120" s="210"/>
    </row>
    <row r="121">
      <c r="A121" s="210"/>
      <c r="B121" s="223" t="s">
        <v>91</v>
      </c>
      <c r="C121" s="222" t="s">
        <v>150</v>
      </c>
      <c r="D121" s="210" t="s">
        <v>210</v>
      </c>
      <c r="E121" s="210"/>
    </row>
    <row r="122">
      <c r="A122" s="210"/>
      <c r="B122" s="223" t="s">
        <v>91</v>
      </c>
      <c r="C122" s="222" t="s">
        <v>150</v>
      </c>
      <c r="D122" s="210" t="s">
        <v>211</v>
      </c>
      <c r="E122" s="210"/>
    </row>
    <row r="123">
      <c r="A123" s="210"/>
      <c r="B123" s="223" t="s">
        <v>91</v>
      </c>
      <c r="C123" s="222" t="s">
        <v>150</v>
      </c>
      <c r="D123" s="210" t="s">
        <v>212</v>
      </c>
      <c r="E123" s="210"/>
    </row>
    <row r="124">
      <c r="A124" s="210"/>
      <c r="B124" s="223" t="s">
        <v>91</v>
      </c>
      <c r="C124" s="222" t="s">
        <v>150</v>
      </c>
      <c r="D124" s="210" t="s">
        <v>213</v>
      </c>
      <c r="E124" s="210"/>
    </row>
    <row r="125">
      <c r="A125" s="210"/>
      <c r="B125" s="223" t="s">
        <v>91</v>
      </c>
      <c r="C125" s="222" t="s">
        <v>150</v>
      </c>
      <c r="D125" s="210" t="s">
        <v>214</v>
      </c>
      <c r="E125" s="210"/>
    </row>
    <row r="126">
      <c r="A126" s="210"/>
      <c r="B126" s="223" t="s">
        <v>91</v>
      </c>
      <c r="C126" s="222" t="s">
        <v>150</v>
      </c>
      <c r="D126" s="210" t="s">
        <v>215</v>
      </c>
      <c r="E126" s="210"/>
    </row>
    <row r="127">
      <c r="A127" s="210"/>
      <c r="B127" s="223" t="s">
        <v>91</v>
      </c>
      <c r="C127" s="222" t="s">
        <v>150</v>
      </c>
      <c r="D127" s="210" t="s">
        <v>216</v>
      </c>
      <c r="E127" s="210"/>
    </row>
    <row r="128">
      <c r="A128" s="210"/>
      <c r="B128" s="223"/>
      <c r="C128" s="222" t="s">
        <v>150</v>
      </c>
      <c r="D128" s="210" t="s">
        <v>217</v>
      </c>
      <c r="E128" s="210"/>
    </row>
    <row r="129">
      <c r="A129" s="210"/>
      <c r="B129" s="223"/>
      <c r="C129" s="222" t="s">
        <v>150</v>
      </c>
      <c r="D129" s="210" t="s">
        <v>218</v>
      </c>
      <c r="E129" s="210"/>
    </row>
    <row r="130">
      <c r="A130" s="210"/>
      <c r="B130" s="223"/>
      <c r="C130" s="222" t="s">
        <v>150</v>
      </c>
      <c r="D130" s="210" t="s">
        <v>219</v>
      </c>
      <c r="E130" s="210"/>
    </row>
    <row r="131">
      <c r="A131" s="210"/>
      <c r="B131" s="223"/>
      <c r="C131" s="222" t="s">
        <v>150</v>
      </c>
      <c r="D131" s="210" t="s">
        <v>220</v>
      </c>
      <c r="E131" s="210"/>
    </row>
    <row r="132">
      <c r="A132" s="210"/>
      <c r="B132" s="223" t="s">
        <v>91</v>
      </c>
      <c r="C132" s="222" t="s">
        <v>150</v>
      </c>
      <c r="D132" s="210" t="s">
        <v>221</v>
      </c>
      <c r="E132" s="210"/>
    </row>
    <row r="133">
      <c r="A133" s="210"/>
      <c r="B133" s="223" t="s">
        <v>91</v>
      </c>
      <c r="C133" s="222" t="s">
        <v>150</v>
      </c>
      <c r="D133" s="210" t="s">
        <v>222</v>
      </c>
      <c r="E133" s="210"/>
    </row>
    <row r="134">
      <c r="A134" s="210"/>
      <c r="B134" s="223" t="s">
        <v>91</v>
      </c>
      <c r="C134" s="222" t="s">
        <v>150</v>
      </c>
      <c r="D134" s="210" t="s">
        <v>223</v>
      </c>
      <c r="E134" s="210"/>
    </row>
    <row r="135">
      <c r="A135" s="210"/>
      <c r="B135" s="223" t="s">
        <v>91</v>
      </c>
      <c r="C135" s="222" t="s">
        <v>150</v>
      </c>
      <c r="D135" s="210" t="s">
        <v>224</v>
      </c>
      <c r="E135" s="210"/>
    </row>
    <row r="136">
      <c r="A136" s="210"/>
      <c r="B136" s="223" t="s">
        <v>91</v>
      </c>
      <c r="C136" s="222" t="s">
        <v>150</v>
      </c>
      <c r="D136" s="210" t="s">
        <v>225</v>
      </c>
      <c r="E136" s="210"/>
    </row>
    <row r="137">
      <c r="A137" s="210"/>
      <c r="B137" s="223" t="s">
        <v>91</v>
      </c>
      <c r="C137" s="222" t="s">
        <v>150</v>
      </c>
      <c r="D137" s="210" t="s">
        <v>226</v>
      </c>
      <c r="E137" s="210"/>
    </row>
    <row r="138">
      <c r="A138" s="210"/>
      <c r="B138" s="223" t="s">
        <v>91</v>
      </c>
      <c r="C138" s="222" t="s">
        <v>150</v>
      </c>
      <c r="D138" s="210" t="s">
        <v>227</v>
      </c>
      <c r="E138" s="210"/>
    </row>
    <row r="139">
      <c r="A139" s="210"/>
      <c r="B139" s="223" t="s">
        <v>91</v>
      </c>
      <c r="C139" s="222" t="s">
        <v>150</v>
      </c>
      <c r="D139" s="210" t="s">
        <v>228</v>
      </c>
      <c r="E139" s="210"/>
    </row>
    <row r="140">
      <c r="A140" s="210"/>
      <c r="B140" s="223" t="s">
        <v>91</v>
      </c>
      <c r="C140" s="222" t="s">
        <v>150</v>
      </c>
      <c r="D140" s="210" t="s">
        <v>229</v>
      </c>
      <c r="E140" s="210"/>
    </row>
    <row r="141">
      <c r="A141" s="210"/>
      <c r="B141" s="223" t="s">
        <v>91</v>
      </c>
      <c r="C141" s="222" t="s">
        <v>150</v>
      </c>
      <c r="D141" s="210" t="s">
        <v>230</v>
      </c>
      <c r="E141" s="210"/>
    </row>
    <row r="142">
      <c r="A142" s="210"/>
      <c r="B142" s="223" t="s">
        <v>91</v>
      </c>
      <c r="C142" s="222" t="s">
        <v>150</v>
      </c>
      <c r="D142" s="210" t="s">
        <v>231</v>
      </c>
      <c r="E142" s="210"/>
    </row>
    <row r="143">
      <c r="A143" s="210"/>
      <c r="B143" s="223" t="s">
        <v>91</v>
      </c>
      <c r="C143" s="222" t="s">
        <v>150</v>
      </c>
      <c r="D143" s="210" t="s">
        <v>232</v>
      </c>
      <c r="E143" s="210"/>
    </row>
    <row r="144">
      <c r="A144" s="210"/>
      <c r="B144" s="223" t="s">
        <v>91</v>
      </c>
      <c r="C144" s="222" t="s">
        <v>150</v>
      </c>
      <c r="D144" s="210" t="s">
        <v>233</v>
      </c>
      <c r="E144" s="210"/>
    </row>
    <row r="145">
      <c r="A145" s="210"/>
      <c r="B145" s="223" t="s">
        <v>91</v>
      </c>
      <c r="C145" s="222" t="s">
        <v>150</v>
      </c>
      <c r="D145" s="210" t="s">
        <v>234</v>
      </c>
      <c r="E145" s="210"/>
    </row>
    <row r="146">
      <c r="A146" s="210"/>
      <c r="B146" s="223" t="s">
        <v>91</v>
      </c>
      <c r="C146" s="222" t="s">
        <v>150</v>
      </c>
      <c r="D146" s="210" t="s">
        <v>235</v>
      </c>
      <c r="E146" s="210"/>
    </row>
    <row r="147">
      <c r="A147" s="210"/>
      <c r="B147" s="223" t="s">
        <v>91</v>
      </c>
      <c r="C147" s="222" t="s">
        <v>150</v>
      </c>
      <c r="D147" s="210" t="s">
        <v>236</v>
      </c>
      <c r="E147" s="210"/>
    </row>
    <row r="148">
      <c r="A148" s="210"/>
      <c r="B148" s="223" t="s">
        <v>91</v>
      </c>
      <c r="C148" s="222" t="s">
        <v>150</v>
      </c>
      <c r="D148" s="210" t="s">
        <v>237</v>
      </c>
      <c r="E148" s="210"/>
    </row>
    <row r="149">
      <c r="A149" s="210"/>
      <c r="B149" s="223" t="s">
        <v>91</v>
      </c>
      <c r="C149" s="222" t="s">
        <v>150</v>
      </c>
      <c r="D149" s="210" t="s">
        <v>238</v>
      </c>
      <c r="E149" s="210"/>
    </row>
    <row r="150">
      <c r="A150" s="210"/>
      <c r="B150" s="223" t="s">
        <v>91</v>
      </c>
      <c r="C150" s="222" t="s">
        <v>150</v>
      </c>
      <c r="D150" s="210" t="s">
        <v>239</v>
      </c>
      <c r="E150" s="210"/>
    </row>
    <row r="151">
      <c r="A151" s="210"/>
      <c r="B151" s="223" t="s">
        <v>91</v>
      </c>
      <c r="C151" s="222" t="s">
        <v>150</v>
      </c>
      <c r="D151" s="210" t="s">
        <v>240</v>
      </c>
      <c r="E151" s="210"/>
    </row>
    <row r="152">
      <c r="A152" s="213"/>
      <c r="B152" s="208"/>
      <c r="C152" s="210"/>
      <c r="D152" s="210"/>
      <c r="E152" s="210"/>
    </row>
    <row r="153">
      <c r="A153" s="213"/>
      <c r="B153" s="208"/>
      <c r="C153" s="210"/>
      <c r="D153" s="210"/>
      <c r="E153" s="210"/>
    </row>
    <row r="154" s="224" customFormat="1">
      <c r="A154" s="227" t="s">
        <v>241</v>
      </c>
      <c r="B154" s="223"/>
      <c r="C154" s="222"/>
      <c r="D154" s="226"/>
      <c r="E154" s="222"/>
    </row>
    <row r="155" s="224" customFormat="1">
      <c r="A155" s="222"/>
      <c r="B155" s="223" t="s">
        <v>91</v>
      </c>
      <c r="C155" s="222" t="s">
        <v>242</v>
      </c>
      <c r="D155" s="226" t="s">
        <v>243</v>
      </c>
      <c r="E155" s="222"/>
    </row>
    <row r="156" s="224" customFormat="1">
      <c r="A156" s="222"/>
      <c r="B156" s="223" t="s">
        <v>91</v>
      </c>
      <c r="C156" s="222" t="s">
        <v>242</v>
      </c>
      <c r="D156" s="226" t="s">
        <v>244</v>
      </c>
      <c r="E156" s="222"/>
    </row>
    <row r="157" s="224" customFormat="1">
      <c r="A157" s="222"/>
      <c r="B157" s="223" t="s">
        <v>91</v>
      </c>
      <c r="C157" s="222" t="s">
        <v>242</v>
      </c>
      <c r="D157" s="226" t="s">
        <v>245</v>
      </c>
      <c r="E157" s="222"/>
    </row>
    <row r="158" s="224" customFormat="1">
      <c r="A158" s="222"/>
      <c r="B158" s="223" t="s">
        <v>91</v>
      </c>
      <c r="C158" s="222" t="s">
        <v>242</v>
      </c>
      <c r="D158" s="226" t="s">
        <v>246</v>
      </c>
      <c r="E158" s="222"/>
    </row>
    <row r="159" s="224" customFormat="1">
      <c r="A159" s="222"/>
      <c r="B159" s="223" t="s">
        <v>91</v>
      </c>
      <c r="C159" s="222" t="s">
        <v>242</v>
      </c>
      <c r="D159" s="222" t="s">
        <v>247</v>
      </c>
      <c r="E159" s="222"/>
    </row>
    <row r="160" s="224" customFormat="1">
      <c r="A160" s="222"/>
      <c r="B160" s="223" t="s">
        <v>91</v>
      </c>
      <c r="C160" s="222" t="s">
        <v>242</v>
      </c>
      <c r="D160" s="222" t="s">
        <v>248</v>
      </c>
      <c r="E160" s="222"/>
    </row>
    <row r="161" s="224" customFormat="1">
      <c r="A161" s="222"/>
      <c r="B161" s="223" t="s">
        <v>91</v>
      </c>
      <c r="C161" s="222" t="s">
        <v>242</v>
      </c>
      <c r="D161" s="225" t="s">
        <v>249</v>
      </c>
      <c r="E161" s="222"/>
    </row>
    <row r="162" s="224" customFormat="1">
      <c r="A162" s="222"/>
      <c r="B162" s="223" t="s">
        <v>91</v>
      </c>
      <c r="C162" s="222" t="s">
        <v>242</v>
      </c>
      <c r="D162" s="224" t="s">
        <v>250</v>
      </c>
      <c r="E162" s="222"/>
    </row>
    <row r="163" s="224" customFormat="1">
      <c r="A163" s="222"/>
      <c r="B163" s="223" t="s">
        <v>91</v>
      </c>
      <c r="C163" s="222" t="s">
        <v>242</v>
      </c>
      <c r="D163" s="224" t="s">
        <v>251</v>
      </c>
      <c r="E163" s="222"/>
    </row>
    <row r="164" s="224" customFormat="1">
      <c r="A164" s="222"/>
      <c r="B164" s="223" t="s">
        <v>91</v>
      </c>
      <c r="C164" s="222" t="s">
        <v>242</v>
      </c>
      <c r="D164" s="210" t="s">
        <v>252</v>
      </c>
      <c r="E164" s="222"/>
    </row>
    <row r="165" s="224" customFormat="1">
      <c r="A165" s="222"/>
      <c r="B165" s="223" t="s">
        <v>91</v>
      </c>
      <c r="C165" s="222" t="s">
        <v>242</v>
      </c>
      <c r="D165" s="210" t="s">
        <v>253</v>
      </c>
      <c r="E165" s="222"/>
    </row>
    <row r="166" s="224" customFormat="1">
      <c r="A166" s="222"/>
      <c r="B166" s="223" t="s">
        <v>91</v>
      </c>
      <c r="C166" s="222" t="s">
        <v>242</v>
      </c>
      <c r="D166" s="210" t="s">
        <v>254</v>
      </c>
      <c r="E166" s="222"/>
    </row>
    <row r="167" s="224" customFormat="1">
      <c r="A167" s="222"/>
      <c r="B167" s="223" t="s">
        <v>91</v>
      </c>
      <c r="C167" s="222" t="s">
        <v>242</v>
      </c>
      <c r="D167" s="210" t="s">
        <v>255</v>
      </c>
      <c r="E167" s="222"/>
    </row>
    <row r="168" s="224" customFormat="1">
      <c r="A168" s="222"/>
      <c r="B168" s="223" t="s">
        <v>91</v>
      </c>
      <c r="C168" s="222" t="s">
        <v>242</v>
      </c>
      <c r="D168" s="210" t="s">
        <v>256</v>
      </c>
      <c r="E168" s="222"/>
    </row>
    <row r="169" s="224" customFormat="1">
      <c r="A169" s="222"/>
      <c r="B169" s="223" t="s">
        <v>91</v>
      </c>
      <c r="C169" s="222" t="s">
        <v>242</v>
      </c>
      <c r="D169" s="210" t="s">
        <v>257</v>
      </c>
      <c r="E169" s="222"/>
    </row>
    <row r="170" s="224" customFormat="1">
      <c r="A170" s="222"/>
      <c r="B170" s="223" t="s">
        <v>91</v>
      </c>
      <c r="C170" s="222" t="s">
        <v>242</v>
      </c>
      <c r="D170" s="210" t="s">
        <v>258</v>
      </c>
      <c r="E170" s="222"/>
    </row>
    <row r="171" s="224" customFormat="1">
      <c r="A171" s="222"/>
      <c r="B171" s="223" t="s">
        <v>91</v>
      </c>
      <c r="C171" s="222" t="s">
        <v>242</v>
      </c>
      <c r="D171" s="210" t="s">
        <v>259</v>
      </c>
      <c r="E171" s="222"/>
    </row>
    <row r="172" s="224" customFormat="1">
      <c r="A172" s="222"/>
      <c r="B172" s="223" t="s">
        <v>91</v>
      </c>
      <c r="C172" s="222" t="s">
        <v>242</v>
      </c>
      <c r="D172" s="210" t="s">
        <v>260</v>
      </c>
      <c r="E172" s="222"/>
    </row>
    <row r="173" s="224" customFormat="1">
      <c r="A173" s="222"/>
      <c r="B173" s="223" t="s">
        <v>91</v>
      </c>
      <c r="C173" s="222" t="s">
        <v>242</v>
      </c>
      <c r="D173" s="210" t="s">
        <v>261</v>
      </c>
      <c r="E173" s="222"/>
    </row>
    <row r="174" s="224" customFormat="1">
      <c r="A174" s="222"/>
      <c r="B174" s="223" t="s">
        <v>91</v>
      </c>
      <c r="C174" s="222" t="s">
        <v>242</v>
      </c>
      <c r="D174" s="210" t="s">
        <v>262</v>
      </c>
      <c r="E174" s="222"/>
    </row>
    <row r="175" s="224" customFormat="1">
      <c r="A175" s="222"/>
      <c r="B175" s="223" t="s">
        <v>91</v>
      </c>
      <c r="C175" s="222" t="s">
        <v>242</v>
      </c>
      <c r="D175" s="210" t="s">
        <v>263</v>
      </c>
      <c r="E175" s="222"/>
    </row>
    <row r="176" s="224" customFormat="1">
      <c r="A176" s="222"/>
      <c r="B176" s="223" t="s">
        <v>91</v>
      </c>
      <c r="C176" s="222" t="s">
        <v>242</v>
      </c>
      <c r="D176" s="210" t="s">
        <v>264</v>
      </c>
      <c r="E176" s="222"/>
    </row>
    <row r="177" s="224" customFormat="1">
      <c r="A177" s="222"/>
      <c r="B177" s="223" t="s">
        <v>91</v>
      </c>
      <c r="C177" s="222" t="s">
        <v>242</v>
      </c>
      <c r="D177" s="210" t="s">
        <v>265</v>
      </c>
      <c r="E177" s="222"/>
    </row>
    <row r="178" s="224" customFormat="1">
      <c r="A178" s="222"/>
      <c r="B178" s="223" t="s">
        <v>91</v>
      </c>
      <c r="C178" s="222" t="s">
        <v>242</v>
      </c>
      <c r="D178" s="210" t="s">
        <v>266</v>
      </c>
      <c r="E178" s="222"/>
    </row>
    <row r="179" s="224" customFormat="1">
      <c r="A179" s="222"/>
      <c r="B179" s="223" t="s">
        <v>91</v>
      </c>
      <c r="C179" s="222" t="s">
        <v>242</v>
      </c>
      <c r="D179" s="210" t="s">
        <v>267</v>
      </c>
      <c r="E179" s="222"/>
    </row>
    <row r="180" s="224" customFormat="1">
      <c r="A180" s="222"/>
      <c r="B180" s="223" t="s">
        <v>91</v>
      </c>
      <c r="C180" s="222" t="s">
        <v>242</v>
      </c>
      <c r="D180" s="210" t="s">
        <v>268</v>
      </c>
      <c r="E180" s="222"/>
    </row>
    <row r="181" s="224" customFormat="1">
      <c r="A181" s="222"/>
      <c r="B181" s="223" t="s">
        <v>91</v>
      </c>
      <c r="C181" s="222" t="s">
        <v>242</v>
      </c>
      <c r="D181" s="210" t="s">
        <v>269</v>
      </c>
      <c r="E181" s="222"/>
    </row>
    <row r="182" s="224" customFormat="1">
      <c r="A182" s="222"/>
      <c r="B182" s="223" t="s">
        <v>91</v>
      </c>
      <c r="C182" s="222" t="s">
        <v>242</v>
      </c>
      <c r="D182" s="210" t="s">
        <v>270</v>
      </c>
      <c r="E182" s="222"/>
    </row>
    <row r="183" s="224" customFormat="1">
      <c r="A183" s="222"/>
      <c r="B183" s="223" t="s">
        <v>91</v>
      </c>
      <c r="C183" s="222" t="s">
        <v>242</v>
      </c>
      <c r="D183" s="210" t="s">
        <v>271</v>
      </c>
      <c r="E183" s="222"/>
    </row>
    <row r="184" s="224" customFormat="1">
      <c r="A184" s="222"/>
      <c r="B184" s="223" t="s">
        <v>91</v>
      </c>
      <c r="C184" s="222" t="s">
        <v>242</v>
      </c>
      <c r="D184" s="210" t="s">
        <v>272</v>
      </c>
      <c r="E184" s="222"/>
    </row>
    <row r="185" s="224" customFormat="1">
      <c r="A185" s="222"/>
      <c r="B185" s="223" t="s">
        <v>91</v>
      </c>
      <c r="C185" s="222" t="s">
        <v>242</v>
      </c>
      <c r="D185" s="210" t="s">
        <v>273</v>
      </c>
      <c r="E185" s="222"/>
    </row>
    <row r="186" s="224" customFormat="1">
      <c r="A186" s="222"/>
      <c r="B186" s="223" t="s">
        <v>91</v>
      </c>
      <c r="C186" s="222" t="s">
        <v>242</v>
      </c>
      <c r="D186" s="210" t="s">
        <v>274</v>
      </c>
      <c r="E186" s="222"/>
    </row>
    <row r="187" s="224" customFormat="1">
      <c r="A187" s="222"/>
      <c r="B187" s="223" t="s">
        <v>91</v>
      </c>
      <c r="C187" s="222" t="s">
        <v>242</v>
      </c>
      <c r="D187" s="210" t="s">
        <v>275</v>
      </c>
      <c r="E187" s="222"/>
    </row>
    <row r="188" s="224" customFormat="1">
      <c r="A188" s="222"/>
      <c r="B188" s="223" t="s">
        <v>91</v>
      </c>
      <c r="C188" s="222" t="s">
        <v>242</v>
      </c>
      <c r="D188" s="210" t="s">
        <v>276</v>
      </c>
      <c r="E188" s="222"/>
    </row>
    <row r="189" s="224" customFormat="1">
      <c r="A189" s="222"/>
      <c r="B189" s="223" t="s">
        <v>91</v>
      </c>
      <c r="C189" s="222" t="s">
        <v>242</v>
      </c>
      <c r="D189" s="210" t="s">
        <v>277</v>
      </c>
      <c r="E189" s="222"/>
    </row>
    <row r="190" s="224" customFormat="1">
      <c r="A190" s="222"/>
      <c r="B190" s="223" t="s">
        <v>91</v>
      </c>
      <c r="C190" s="222" t="s">
        <v>242</v>
      </c>
      <c r="D190" s="210" t="s">
        <v>278</v>
      </c>
      <c r="E190" s="222"/>
    </row>
    <row r="191" s="224" customFormat="1">
      <c r="A191" s="222"/>
      <c r="B191" s="223" t="s">
        <v>91</v>
      </c>
      <c r="C191" s="222" t="s">
        <v>242</v>
      </c>
      <c r="D191" s="210" t="s">
        <v>279</v>
      </c>
      <c r="E191" s="222"/>
    </row>
    <row r="192" s="224" customFormat="1">
      <c r="A192" s="222"/>
      <c r="B192" s="223" t="s">
        <v>91</v>
      </c>
      <c r="C192" s="222" t="s">
        <v>242</v>
      </c>
      <c r="D192" s="210" t="s">
        <v>280</v>
      </c>
      <c r="E192" s="222"/>
    </row>
    <row r="193" s="224" customFormat="1">
      <c r="A193" s="222"/>
      <c r="B193" s="223" t="s">
        <v>91</v>
      </c>
      <c r="C193" s="222" t="s">
        <v>242</v>
      </c>
      <c r="D193" s="210" t="s">
        <v>281</v>
      </c>
      <c r="E193" s="222"/>
    </row>
    <row r="194" s="224" customFormat="1">
      <c r="A194" s="222"/>
      <c r="B194" s="223" t="s">
        <v>91</v>
      </c>
      <c r="C194" s="222" t="s">
        <v>242</v>
      </c>
      <c r="D194" s="210" t="s">
        <v>282</v>
      </c>
      <c r="E194" s="222"/>
    </row>
    <row r="195" s="224" customFormat="1">
      <c r="A195" s="222"/>
      <c r="B195" s="223" t="s">
        <v>91</v>
      </c>
      <c r="C195" s="222" t="s">
        <v>242</v>
      </c>
      <c r="D195" s="210" t="s">
        <v>283</v>
      </c>
      <c r="E195" s="222"/>
    </row>
    <row r="196" s="224" customFormat="1">
      <c r="A196" s="222"/>
      <c r="B196" s="223" t="s">
        <v>91</v>
      </c>
      <c r="C196" s="222" t="s">
        <v>242</v>
      </c>
      <c r="D196" s="210" t="s">
        <v>284</v>
      </c>
      <c r="E196" s="222"/>
    </row>
    <row r="197" s="224" customFormat="1">
      <c r="A197" s="222"/>
      <c r="B197" s="223" t="s">
        <v>91</v>
      </c>
      <c r="C197" s="222" t="s">
        <v>242</v>
      </c>
      <c r="D197" s="210" t="s">
        <v>285</v>
      </c>
      <c r="E197" s="222"/>
    </row>
    <row r="198" s="224" customFormat="1">
      <c r="A198" s="222"/>
      <c r="B198" s="223" t="s">
        <v>91</v>
      </c>
      <c r="C198" s="222" t="s">
        <v>242</v>
      </c>
      <c r="D198" s="210" t="s">
        <v>286</v>
      </c>
      <c r="E198" s="222"/>
    </row>
    <row r="199" s="224" customFormat="1">
      <c r="A199" s="222"/>
      <c r="B199" s="223" t="s">
        <v>91</v>
      </c>
      <c r="C199" s="222" t="s">
        <v>242</v>
      </c>
      <c r="D199" s="210" t="s">
        <v>287</v>
      </c>
      <c r="E199" s="222"/>
    </row>
    <row r="200" s="224" customFormat="1">
      <c r="A200" s="222"/>
      <c r="B200" s="223" t="s">
        <v>91</v>
      </c>
      <c r="C200" s="222" t="s">
        <v>242</v>
      </c>
      <c r="D200" s="210" t="s">
        <v>288</v>
      </c>
      <c r="E200" s="222"/>
    </row>
    <row r="201" s="224" customFormat="1">
      <c r="A201" s="222"/>
      <c r="B201" s="223" t="s">
        <v>91</v>
      </c>
      <c r="C201" s="222" t="s">
        <v>242</v>
      </c>
      <c r="D201" s="210" t="s">
        <v>289</v>
      </c>
      <c r="E201" s="222"/>
    </row>
    <row r="202" s="224" customFormat="1">
      <c r="A202" s="222"/>
      <c r="B202" s="223" t="s">
        <v>91</v>
      </c>
      <c r="C202" s="222" t="s">
        <v>242</v>
      </c>
      <c r="D202" s="210" t="s">
        <v>290</v>
      </c>
      <c r="E202" s="222"/>
    </row>
    <row r="203" s="224" customFormat="1">
      <c r="A203" s="222"/>
      <c r="B203" s="223" t="s">
        <v>91</v>
      </c>
      <c r="C203" s="222" t="s">
        <v>242</v>
      </c>
      <c r="D203" s="210" t="s">
        <v>291</v>
      </c>
      <c r="E203" s="222"/>
    </row>
    <row r="204">
      <c r="A204" s="210"/>
      <c r="B204" s="223" t="s">
        <v>91</v>
      </c>
      <c r="C204" s="222" t="s">
        <v>242</v>
      </c>
      <c r="D204" s="210" t="s">
        <v>292</v>
      </c>
      <c r="E204" s="210"/>
    </row>
    <row r="205">
      <c r="A205" s="210"/>
      <c r="B205" s="223" t="s">
        <v>91</v>
      </c>
      <c r="C205" s="222" t="s">
        <v>242</v>
      </c>
      <c r="D205" s="210" t="s">
        <v>293</v>
      </c>
      <c r="E205" s="210"/>
    </row>
    <row r="206">
      <c r="A206" s="210"/>
      <c r="B206" s="223" t="s">
        <v>91</v>
      </c>
      <c r="C206" s="222" t="s">
        <v>242</v>
      </c>
      <c r="D206" s="210" t="s">
        <v>294</v>
      </c>
      <c r="E206" s="210"/>
    </row>
    <row r="207">
      <c r="A207" s="210"/>
      <c r="B207" s="223" t="s">
        <v>91</v>
      </c>
      <c r="C207" s="222" t="s">
        <v>242</v>
      </c>
      <c r="D207" s="210" t="s">
        <v>295</v>
      </c>
      <c r="E207" s="210"/>
    </row>
    <row r="208">
      <c r="A208" s="210"/>
      <c r="B208" s="223" t="s">
        <v>91</v>
      </c>
      <c r="C208" s="222" t="s">
        <v>242</v>
      </c>
      <c r="D208" s="210" t="s">
        <v>296</v>
      </c>
      <c r="E208" s="210"/>
    </row>
    <row r="209">
      <c r="A209" s="210"/>
      <c r="B209" s="223" t="s">
        <v>91</v>
      </c>
      <c r="C209" s="222" t="s">
        <v>242</v>
      </c>
      <c r="D209" s="210" t="s">
        <v>297</v>
      </c>
      <c r="E209" s="210"/>
    </row>
    <row r="210">
      <c r="A210" s="210"/>
      <c r="B210" s="223" t="s">
        <v>91</v>
      </c>
      <c r="C210" s="222" t="s">
        <v>242</v>
      </c>
      <c r="D210" s="210" t="s">
        <v>298</v>
      </c>
      <c r="E210" s="210"/>
    </row>
    <row r="211">
      <c r="A211" s="210"/>
      <c r="B211" s="223" t="s">
        <v>91</v>
      </c>
      <c r="C211" s="222" t="s">
        <v>242</v>
      </c>
      <c r="D211" s="210" t="s">
        <v>299</v>
      </c>
      <c r="E211" s="210"/>
    </row>
    <row r="212">
      <c r="A212" s="210"/>
      <c r="B212" s="223" t="s">
        <v>91</v>
      </c>
      <c r="C212" s="222" t="s">
        <v>242</v>
      </c>
      <c r="D212" s="210" t="s">
        <v>300</v>
      </c>
      <c r="E212" s="210"/>
    </row>
    <row r="213">
      <c r="A213" s="210"/>
      <c r="B213" s="223" t="s">
        <v>91</v>
      </c>
      <c r="C213" s="222" t="s">
        <v>242</v>
      </c>
      <c r="D213" s="210" t="s">
        <v>301</v>
      </c>
      <c r="E213" s="210"/>
    </row>
    <row r="214">
      <c r="A214" s="210"/>
      <c r="B214" s="223" t="s">
        <v>91</v>
      </c>
      <c r="C214" s="222" t="s">
        <v>242</v>
      </c>
      <c r="D214" s="210" t="s">
        <v>302</v>
      </c>
      <c r="E214" s="210"/>
    </row>
    <row r="215">
      <c r="A215" s="210"/>
      <c r="B215" s="223" t="s">
        <v>91</v>
      </c>
      <c r="C215" s="222" t="s">
        <v>242</v>
      </c>
      <c r="D215" s="210" t="s">
        <v>303</v>
      </c>
      <c r="E215" s="210"/>
    </row>
    <row r="216">
      <c r="A216" s="210"/>
      <c r="B216" s="223" t="s">
        <v>91</v>
      </c>
      <c r="C216" s="222" t="s">
        <v>242</v>
      </c>
      <c r="D216" s="210" t="s">
        <v>304</v>
      </c>
      <c r="E216" s="210"/>
    </row>
    <row r="217">
      <c r="A217" s="210"/>
      <c r="B217" s="223" t="s">
        <v>91</v>
      </c>
      <c r="C217" s="222" t="s">
        <v>242</v>
      </c>
      <c r="D217" s="210" t="s">
        <v>305</v>
      </c>
      <c r="E217" s="210"/>
    </row>
    <row r="218">
      <c r="A218" s="210"/>
      <c r="B218" s="223" t="s">
        <v>91</v>
      </c>
      <c r="C218" s="222" t="s">
        <v>242</v>
      </c>
      <c r="D218" s="210" t="s">
        <v>306</v>
      </c>
      <c r="E218" s="210"/>
    </row>
    <row r="219">
      <c r="A219" s="210"/>
      <c r="B219" s="223" t="s">
        <v>91</v>
      </c>
      <c r="C219" s="222" t="s">
        <v>242</v>
      </c>
      <c r="D219" s="210" t="s">
        <v>307</v>
      </c>
      <c r="E219" s="210"/>
    </row>
    <row r="220">
      <c r="A220" s="210"/>
      <c r="B220" s="223" t="s">
        <v>91</v>
      </c>
      <c r="C220" s="222" t="s">
        <v>242</v>
      </c>
      <c r="D220" s="210" t="s">
        <v>308</v>
      </c>
      <c r="E220" s="210"/>
    </row>
    <row r="221">
      <c r="A221" s="210"/>
      <c r="B221" s="223"/>
      <c r="C221" s="222" t="s">
        <v>242</v>
      </c>
      <c r="D221" s="210" t="s">
        <v>309</v>
      </c>
      <c r="E221" s="210"/>
    </row>
    <row r="222">
      <c r="A222" s="210"/>
      <c r="B222" s="223"/>
      <c r="C222" s="222" t="s">
        <v>242</v>
      </c>
      <c r="D222" s="210" t="s">
        <v>310</v>
      </c>
      <c r="E222" s="210"/>
    </row>
    <row r="223">
      <c r="A223" s="210"/>
      <c r="B223" s="223"/>
      <c r="C223" s="222" t="s">
        <v>242</v>
      </c>
      <c r="D223" s="210" t="s">
        <v>311</v>
      </c>
      <c r="E223" s="210"/>
    </row>
    <row r="224">
      <c r="A224" s="210"/>
      <c r="B224" s="223"/>
      <c r="C224" s="222" t="s">
        <v>242</v>
      </c>
      <c r="D224" s="210" t="s">
        <v>312</v>
      </c>
      <c r="E224" s="210"/>
    </row>
    <row r="225">
      <c r="A225" s="210"/>
      <c r="B225" s="223" t="s">
        <v>91</v>
      </c>
      <c r="C225" s="222" t="s">
        <v>242</v>
      </c>
      <c r="D225" s="210" t="s">
        <v>313</v>
      </c>
      <c r="E225" s="210"/>
    </row>
    <row r="226">
      <c r="A226" s="210"/>
      <c r="B226" s="223" t="s">
        <v>91</v>
      </c>
      <c r="C226" s="222" t="s">
        <v>242</v>
      </c>
      <c r="D226" s="210" t="s">
        <v>314</v>
      </c>
      <c r="E226" s="210"/>
    </row>
    <row r="227">
      <c r="A227" s="210"/>
      <c r="B227" s="223" t="s">
        <v>91</v>
      </c>
      <c r="C227" s="222" t="s">
        <v>242</v>
      </c>
      <c r="D227" s="210" t="s">
        <v>315</v>
      </c>
      <c r="E227" s="210"/>
    </row>
    <row r="228">
      <c r="A228" s="210"/>
      <c r="B228" s="223" t="s">
        <v>91</v>
      </c>
      <c r="C228" s="222" t="s">
        <v>242</v>
      </c>
      <c r="D228" s="210" t="s">
        <v>316</v>
      </c>
      <c r="E228" s="210"/>
    </row>
    <row r="229">
      <c r="A229" s="210"/>
      <c r="B229" s="223" t="s">
        <v>91</v>
      </c>
      <c r="C229" s="222" t="s">
        <v>242</v>
      </c>
      <c r="D229" s="210" t="s">
        <v>317</v>
      </c>
      <c r="E229" s="210"/>
    </row>
    <row r="230">
      <c r="A230" s="210"/>
      <c r="B230" s="223" t="s">
        <v>91</v>
      </c>
      <c r="C230" s="222" t="s">
        <v>242</v>
      </c>
      <c r="D230" s="210" t="s">
        <v>318</v>
      </c>
      <c r="E230" s="210"/>
    </row>
    <row r="231">
      <c r="A231" s="210"/>
      <c r="B231" s="223" t="s">
        <v>91</v>
      </c>
      <c r="C231" s="222" t="s">
        <v>242</v>
      </c>
      <c r="D231" s="210" t="s">
        <v>319</v>
      </c>
      <c r="E231" s="210"/>
    </row>
    <row r="232">
      <c r="A232" s="210"/>
      <c r="B232" s="223" t="s">
        <v>91</v>
      </c>
      <c r="C232" s="222" t="s">
        <v>242</v>
      </c>
      <c r="D232" s="210" t="s">
        <v>320</v>
      </c>
      <c r="E232" s="210"/>
    </row>
    <row r="233">
      <c r="A233" s="210"/>
      <c r="B233" s="223" t="s">
        <v>91</v>
      </c>
      <c r="C233" s="222" t="s">
        <v>242</v>
      </c>
      <c r="D233" s="210" t="s">
        <v>321</v>
      </c>
      <c r="E233" s="210"/>
    </row>
    <row r="234">
      <c r="A234" s="210"/>
      <c r="B234" s="223" t="s">
        <v>91</v>
      </c>
      <c r="C234" s="222" t="s">
        <v>242</v>
      </c>
      <c r="D234" s="210" t="s">
        <v>322</v>
      </c>
      <c r="E234" s="210"/>
    </row>
    <row r="235">
      <c r="A235" s="210"/>
      <c r="B235" s="223" t="s">
        <v>91</v>
      </c>
      <c r="C235" s="222" t="s">
        <v>242</v>
      </c>
      <c r="D235" s="210" t="s">
        <v>323</v>
      </c>
      <c r="E235" s="210"/>
    </row>
    <row r="236">
      <c r="A236" s="210"/>
      <c r="B236" s="223" t="s">
        <v>91</v>
      </c>
      <c r="C236" s="222" t="s">
        <v>242</v>
      </c>
      <c r="D236" s="210" t="s">
        <v>324</v>
      </c>
      <c r="E236" s="210"/>
    </row>
    <row r="237">
      <c r="A237" s="210"/>
      <c r="B237" s="223" t="s">
        <v>91</v>
      </c>
      <c r="C237" s="222" t="s">
        <v>242</v>
      </c>
      <c r="D237" s="210" t="s">
        <v>325</v>
      </c>
      <c r="E237" s="210"/>
    </row>
    <row r="238">
      <c r="A238" s="210"/>
      <c r="B238" s="223" t="s">
        <v>91</v>
      </c>
      <c r="C238" s="222" t="s">
        <v>242</v>
      </c>
      <c r="D238" s="210" t="s">
        <v>326</v>
      </c>
      <c r="E238" s="210"/>
    </row>
    <row r="239">
      <c r="A239" s="210"/>
      <c r="B239" s="223" t="s">
        <v>91</v>
      </c>
      <c r="C239" s="222" t="s">
        <v>242</v>
      </c>
      <c r="D239" s="210" t="s">
        <v>327</v>
      </c>
      <c r="E239" s="210"/>
    </row>
    <row r="240">
      <c r="A240" s="210"/>
      <c r="B240" s="223" t="s">
        <v>91</v>
      </c>
      <c r="C240" s="222" t="s">
        <v>242</v>
      </c>
      <c r="D240" s="210" t="s">
        <v>328</v>
      </c>
      <c r="E240" s="210"/>
    </row>
    <row r="241">
      <c r="A241" s="210"/>
      <c r="B241" s="223" t="s">
        <v>91</v>
      </c>
      <c r="C241" s="222" t="s">
        <v>242</v>
      </c>
      <c r="D241" s="210" t="s">
        <v>329</v>
      </c>
      <c r="E241" s="210"/>
    </row>
    <row r="242">
      <c r="A242" s="210"/>
      <c r="B242" s="223" t="s">
        <v>91</v>
      </c>
      <c r="C242" s="222" t="s">
        <v>242</v>
      </c>
      <c r="D242" s="210" t="s">
        <v>330</v>
      </c>
      <c r="E242" s="210"/>
    </row>
    <row r="243">
      <c r="A243" s="210"/>
      <c r="B243" s="223" t="s">
        <v>91</v>
      </c>
      <c r="C243" s="222" t="s">
        <v>242</v>
      </c>
      <c r="D243" s="210" t="s">
        <v>331</v>
      </c>
      <c r="E243" s="210"/>
    </row>
    <row r="244">
      <c r="A244" s="210"/>
      <c r="B244" s="223" t="s">
        <v>91</v>
      </c>
      <c r="C244" s="222" t="s">
        <v>242</v>
      </c>
      <c r="D244" s="210" t="s">
        <v>332</v>
      </c>
      <c r="E244" s="210"/>
    </row>
    <row r="245">
      <c r="A245" s="213"/>
      <c r="B245" s="208"/>
      <c r="C245" s="210"/>
      <c r="D245" s="210"/>
      <c r="E245" s="210"/>
    </row>
    <row r="246">
      <c r="A246" s="213"/>
      <c r="B246" s="208"/>
      <c r="C246" s="210"/>
      <c r="D246" s="210"/>
      <c r="E246" s="210"/>
    </row>
    <row r="247">
      <c r="A247" s="213"/>
      <c r="B247" s="208"/>
      <c r="C247" s="210"/>
      <c r="D247" s="210"/>
      <c r="E247" s="210"/>
    </row>
    <row r="248">
      <c r="A248" s="221" t="s">
        <v>135</v>
      </c>
      <c r="B248" s="208"/>
      <c r="C248" s="210"/>
      <c r="D248" s="207"/>
      <c r="E248" s="210"/>
    </row>
    <row r="249">
      <c r="A249" s="213"/>
      <c r="B249" s="219" t="s">
        <v>91</v>
      </c>
      <c r="C249" s="218" t="s">
        <v>333</v>
      </c>
      <c r="D249" s="219" t="s">
        <v>334</v>
      </c>
      <c r="E249" s="220" t="s">
        <v>335</v>
      </c>
    </row>
    <row r="250">
      <c r="A250" s="213"/>
      <c r="B250" s="219" t="s">
        <v>91</v>
      </c>
      <c r="C250" s="218" t="s">
        <v>336</v>
      </c>
      <c r="D250" s="207">
        <v>300</v>
      </c>
      <c r="E250" s="210"/>
    </row>
    <row r="251">
      <c r="A251" s="213"/>
      <c r="B251" s="219" t="s">
        <v>91</v>
      </c>
      <c r="C251" s="218" t="s">
        <v>337</v>
      </c>
      <c r="D251" s="219" t="s">
        <v>338</v>
      </c>
      <c r="E251" s="220" t="s">
        <v>339</v>
      </c>
    </row>
    <row r="252">
      <c r="A252" s="213"/>
      <c r="B252" s="219" t="s">
        <v>91</v>
      </c>
      <c r="C252" s="218" t="s">
        <v>336</v>
      </c>
      <c r="D252" s="207">
        <v>300</v>
      </c>
      <c r="E252" s="210"/>
    </row>
    <row r="253">
      <c r="A253" s="213"/>
      <c r="B253" s="219" t="s">
        <v>91</v>
      </c>
      <c r="C253" s="218" t="s">
        <v>340</v>
      </c>
      <c r="D253" s="207" t="s">
        <v>341</v>
      </c>
      <c r="E253" s="210" t="s">
        <v>342</v>
      </c>
    </row>
    <row r="254">
      <c r="A254" s="213"/>
      <c r="B254" s="219" t="s">
        <v>91</v>
      </c>
      <c r="C254" s="218" t="s">
        <v>336</v>
      </c>
      <c r="D254" s="207">
        <v>300</v>
      </c>
      <c r="E254" s="210"/>
    </row>
    <row r="255">
      <c r="A255" s="213"/>
      <c r="B255" s="208"/>
      <c r="C255" s="210"/>
      <c r="D255" s="210"/>
      <c r="E255" s="210"/>
    </row>
    <row r="256">
      <c r="A256" s="213" t="s">
        <v>343</v>
      </c>
      <c r="B256" s="208"/>
      <c r="C256" s="210"/>
      <c r="D256" s="210"/>
      <c r="E256" s="210"/>
    </row>
    <row r="257">
      <c r="A257" s="213"/>
      <c r="B257" s="217" t="s">
        <v>91</v>
      </c>
      <c r="C257" s="217" t="s">
        <v>92</v>
      </c>
      <c r="D257" s="217" t="s">
        <v>344</v>
      </c>
      <c r="E257" s="210"/>
    </row>
    <row r="258">
      <c r="A258" s="213"/>
      <c r="B258" s="217" t="s">
        <v>91</v>
      </c>
      <c r="C258" s="217" t="s">
        <v>92</v>
      </c>
      <c r="D258" s="217" t="s">
        <v>345</v>
      </c>
      <c r="E258" s="210"/>
    </row>
    <row r="259">
      <c r="A259" s="213"/>
      <c r="B259" s="217" t="s">
        <v>91</v>
      </c>
      <c r="C259" s="217" t="s">
        <v>92</v>
      </c>
      <c r="D259" s="217" t="s">
        <v>346</v>
      </c>
      <c r="E259" s="210"/>
    </row>
    <row r="260">
      <c r="A260" s="213"/>
      <c r="B260" s="217" t="s">
        <v>91</v>
      </c>
      <c r="C260" s="217" t="s">
        <v>92</v>
      </c>
      <c r="D260" s="217" t="s">
        <v>347</v>
      </c>
      <c r="E260" s="210"/>
    </row>
    <row r="261">
      <c r="A261" s="213"/>
      <c r="B261" s="217" t="s">
        <v>91</v>
      </c>
      <c r="C261" s="217" t="s">
        <v>92</v>
      </c>
      <c r="D261" s="217" t="s">
        <v>348</v>
      </c>
      <c r="E261" s="210"/>
    </row>
    <row r="262">
      <c r="A262" s="213"/>
      <c r="B262" s="217" t="s">
        <v>91</v>
      </c>
      <c r="C262" s="215" t="s">
        <v>349</v>
      </c>
      <c r="D262" s="215" t="s">
        <v>350</v>
      </c>
      <c r="E262" s="210"/>
    </row>
    <row r="263">
      <c r="A263" s="213"/>
      <c r="B263" s="217"/>
      <c r="C263" s="217" t="s">
        <v>351</v>
      </c>
      <c r="D263" s="217" t="s">
        <v>352</v>
      </c>
      <c r="E263" s="210"/>
    </row>
    <row r="264">
      <c r="A264" s="213"/>
      <c r="B264" s="217" t="s">
        <v>91</v>
      </c>
      <c r="C264" s="217" t="s">
        <v>351</v>
      </c>
      <c r="D264" s="217" t="s">
        <v>353</v>
      </c>
      <c r="E264" s="210"/>
    </row>
    <row r="265">
      <c r="A265" s="213"/>
      <c r="B265" s="217" t="s">
        <v>91</v>
      </c>
      <c r="C265" s="215" t="s">
        <v>351</v>
      </c>
      <c r="D265" s="215" t="s">
        <v>354</v>
      </c>
      <c r="E265" s="210"/>
    </row>
    <row r="266">
      <c r="A266" s="213"/>
      <c r="B266" s="217"/>
      <c r="C266" s="215"/>
      <c r="D266" s="215"/>
      <c r="E266" s="210"/>
    </row>
    <row r="267">
      <c r="A267" s="213"/>
      <c r="B267" s="217" t="s">
        <v>91</v>
      </c>
      <c r="C267" s="217" t="s">
        <v>355</v>
      </c>
      <c r="D267" s="217" t="s">
        <v>356</v>
      </c>
      <c r="E267" s="210"/>
    </row>
    <row r="268">
      <c r="A268" s="213"/>
      <c r="B268" s="217" t="s">
        <v>91</v>
      </c>
      <c r="C268" s="217" t="s">
        <v>357</v>
      </c>
      <c r="D268" s="217" t="s">
        <v>358</v>
      </c>
      <c r="E268" s="210"/>
    </row>
    <row r="269">
      <c r="A269" s="213"/>
      <c r="B269" s="217" t="s">
        <v>91</v>
      </c>
      <c r="C269" s="217" t="s">
        <v>355</v>
      </c>
      <c r="D269" s="217" t="s">
        <v>359</v>
      </c>
      <c r="E269" s="210"/>
    </row>
    <row r="270">
      <c r="A270" s="213"/>
      <c r="B270" s="217" t="s">
        <v>91</v>
      </c>
      <c r="C270" s="217" t="s">
        <v>357</v>
      </c>
      <c r="D270" s="217" t="s">
        <v>360</v>
      </c>
      <c r="E270" s="210"/>
    </row>
    <row r="271">
      <c r="A271" s="213"/>
      <c r="B271" s="217" t="s">
        <v>91</v>
      </c>
      <c r="C271" s="217" t="s">
        <v>355</v>
      </c>
      <c r="D271" s="217" t="s">
        <v>361</v>
      </c>
      <c r="E271" s="210"/>
    </row>
    <row r="272">
      <c r="A272" s="213"/>
      <c r="B272" s="217" t="s">
        <v>91</v>
      </c>
      <c r="C272" s="217" t="s">
        <v>357</v>
      </c>
      <c r="D272" s="217" t="s">
        <v>362</v>
      </c>
      <c r="E272" s="210"/>
    </row>
    <row r="273">
      <c r="A273" s="213"/>
      <c r="B273" s="217" t="s">
        <v>91</v>
      </c>
      <c r="C273" s="217" t="s">
        <v>355</v>
      </c>
      <c r="D273" s="217" t="s">
        <v>363</v>
      </c>
      <c r="E273" s="210"/>
    </row>
    <row r="274">
      <c r="A274" s="213"/>
      <c r="B274" s="217" t="s">
        <v>91</v>
      </c>
      <c r="C274" s="217" t="s">
        <v>357</v>
      </c>
      <c r="D274" s="217" t="s">
        <v>364</v>
      </c>
      <c r="E274" s="210"/>
    </row>
    <row r="275">
      <c r="A275" s="213"/>
      <c r="B275" s="217" t="s">
        <v>91</v>
      </c>
      <c r="C275" s="217" t="s">
        <v>118</v>
      </c>
      <c r="D275" s="217" t="s">
        <v>365</v>
      </c>
      <c r="E275" s="210" t="s">
        <v>366</v>
      </c>
    </row>
    <row r="276">
      <c r="A276" s="213"/>
      <c r="B276" s="217" t="s">
        <v>91</v>
      </c>
      <c r="C276" s="217" t="s">
        <v>118</v>
      </c>
      <c r="D276" s="217" t="s">
        <v>367</v>
      </c>
      <c r="E276" s="210" t="s">
        <v>368</v>
      </c>
    </row>
    <row r="277">
      <c r="A277" s="213"/>
      <c r="B277" s="217" t="s">
        <v>91</v>
      </c>
      <c r="C277" s="217" t="s">
        <v>118</v>
      </c>
      <c r="D277" s="217" t="s">
        <v>369</v>
      </c>
      <c r="E277" s="210" t="s">
        <v>370</v>
      </c>
    </row>
    <row r="278">
      <c r="A278" s="213"/>
      <c r="B278" s="217" t="s">
        <v>91</v>
      </c>
      <c r="C278" s="217" t="s">
        <v>118</v>
      </c>
      <c r="D278" s="217" t="s">
        <v>371</v>
      </c>
      <c r="E278" s="210" t="s">
        <v>372</v>
      </c>
    </row>
    <row r="279">
      <c r="A279" s="213"/>
      <c r="B279" s="217" t="s">
        <v>91</v>
      </c>
      <c r="C279" s="217" t="s">
        <v>118</v>
      </c>
      <c r="D279" s="217" t="s">
        <v>373</v>
      </c>
      <c r="E279" s="210"/>
    </row>
    <row r="280">
      <c r="A280" s="213"/>
      <c r="B280" s="217"/>
      <c r="C280" s="217"/>
      <c r="D280" s="217"/>
      <c r="E280" s="210"/>
    </row>
    <row r="281">
      <c r="A281" s="213"/>
      <c r="B281" s="217" t="s">
        <v>91</v>
      </c>
      <c r="C281" s="217" t="s">
        <v>118</v>
      </c>
      <c r="D281" s="217" t="s">
        <v>374</v>
      </c>
      <c r="E281" s="210"/>
    </row>
    <row r="282">
      <c r="A282" s="213"/>
      <c r="B282" s="217" t="s">
        <v>91</v>
      </c>
      <c r="C282" s="215" t="s">
        <v>375</v>
      </c>
      <c r="D282" s="215" t="s">
        <v>376</v>
      </c>
      <c r="E282" s="210"/>
    </row>
    <row r="283">
      <c r="A283" s="213"/>
      <c r="B283" s="217" t="s">
        <v>91</v>
      </c>
      <c r="C283" s="217" t="s">
        <v>118</v>
      </c>
      <c r="D283" s="215" t="s">
        <v>377</v>
      </c>
      <c r="E283" s="210"/>
    </row>
    <row r="284">
      <c r="A284" s="213"/>
      <c r="B284" s="217" t="s">
        <v>91</v>
      </c>
      <c r="C284" s="217" t="s">
        <v>118</v>
      </c>
      <c r="D284" s="215" t="s">
        <v>378</v>
      </c>
      <c r="E284" s="210"/>
    </row>
    <row r="285">
      <c r="A285" s="213"/>
      <c r="B285" s="217" t="s">
        <v>91</v>
      </c>
      <c r="C285" s="215" t="s">
        <v>379</v>
      </c>
      <c r="D285" s="215"/>
      <c r="E285" s="210"/>
    </row>
    <row r="286">
      <c r="A286" s="213"/>
      <c r="B286" s="217" t="s">
        <v>91</v>
      </c>
      <c r="C286" s="217" t="s">
        <v>118</v>
      </c>
      <c r="D286" s="217" t="s">
        <v>380</v>
      </c>
      <c r="E286" s="210"/>
    </row>
    <row r="287">
      <c r="A287" s="213"/>
      <c r="B287" s="217" t="s">
        <v>91</v>
      </c>
      <c r="C287" s="217" t="s">
        <v>118</v>
      </c>
      <c r="D287" s="215" t="s">
        <v>381</v>
      </c>
      <c r="E287" s="210"/>
    </row>
    <row r="288">
      <c r="A288" s="213"/>
      <c r="B288" s="217"/>
      <c r="C288" s="215"/>
      <c r="D288" s="215"/>
      <c r="E288" s="210"/>
    </row>
    <row r="289">
      <c r="A289" s="213"/>
      <c r="B289" s="217" t="s">
        <v>91</v>
      </c>
      <c r="C289" s="217" t="s">
        <v>118</v>
      </c>
      <c r="D289" s="217" t="s">
        <v>374</v>
      </c>
      <c r="E289" s="210"/>
    </row>
    <row r="290">
      <c r="A290" s="213"/>
      <c r="B290" s="217" t="s">
        <v>91</v>
      </c>
      <c r="C290" s="215" t="s">
        <v>375</v>
      </c>
      <c r="D290" s="215" t="s">
        <v>376</v>
      </c>
      <c r="E290" s="210"/>
    </row>
    <row r="291">
      <c r="A291" s="213"/>
      <c r="B291" s="217" t="s">
        <v>91</v>
      </c>
      <c r="C291" s="217" t="s">
        <v>118</v>
      </c>
      <c r="D291" s="215" t="s">
        <v>382</v>
      </c>
      <c r="E291" s="210"/>
    </row>
    <row r="292">
      <c r="A292" s="213"/>
      <c r="B292" s="217" t="s">
        <v>91</v>
      </c>
      <c r="C292" s="217" t="s">
        <v>118</v>
      </c>
      <c r="D292" s="215" t="s">
        <v>383</v>
      </c>
      <c r="E292" s="210"/>
    </row>
    <row r="293">
      <c r="A293" s="213"/>
      <c r="B293" s="217" t="s">
        <v>91</v>
      </c>
      <c r="C293" s="215" t="s">
        <v>379</v>
      </c>
      <c r="D293" s="215"/>
      <c r="E293" s="210"/>
    </row>
    <row r="294">
      <c r="A294" s="213"/>
      <c r="B294" s="217" t="s">
        <v>91</v>
      </c>
      <c r="C294" s="217" t="s">
        <v>118</v>
      </c>
      <c r="D294" s="217" t="s">
        <v>380</v>
      </c>
      <c r="E294" s="210"/>
    </row>
    <row r="295">
      <c r="A295" s="213"/>
      <c r="B295" s="217" t="s">
        <v>91</v>
      </c>
      <c r="C295" s="217" t="s">
        <v>118</v>
      </c>
      <c r="D295" s="215" t="s">
        <v>384</v>
      </c>
      <c r="E295" s="210"/>
    </row>
    <row r="296">
      <c r="A296" s="213"/>
      <c r="B296" s="217"/>
      <c r="C296" s="217"/>
      <c r="D296" s="215"/>
      <c r="E296" s="210"/>
    </row>
    <row r="297">
      <c r="A297" s="213"/>
      <c r="B297" s="217" t="s">
        <v>91</v>
      </c>
      <c r="C297" s="217" t="s">
        <v>118</v>
      </c>
      <c r="D297" s="217" t="s">
        <v>374</v>
      </c>
      <c r="E297" s="210"/>
    </row>
    <row r="298">
      <c r="A298" s="213"/>
      <c r="B298" s="217" t="s">
        <v>91</v>
      </c>
      <c r="C298" s="215" t="s">
        <v>375</v>
      </c>
      <c r="D298" s="215" t="s">
        <v>376</v>
      </c>
      <c r="E298" s="210"/>
    </row>
    <row r="299">
      <c r="A299" s="213"/>
      <c r="B299" s="217" t="s">
        <v>91</v>
      </c>
      <c r="C299" s="217" t="s">
        <v>118</v>
      </c>
      <c r="D299" s="215" t="s">
        <v>385</v>
      </c>
      <c r="E299" s="210"/>
    </row>
    <row r="300">
      <c r="A300" s="213"/>
      <c r="B300" s="217" t="s">
        <v>91</v>
      </c>
      <c r="C300" s="217" t="s">
        <v>118</v>
      </c>
      <c r="D300" s="215" t="s">
        <v>386</v>
      </c>
      <c r="E300" s="210"/>
    </row>
    <row r="301">
      <c r="A301" s="213"/>
      <c r="B301" s="217" t="s">
        <v>91</v>
      </c>
      <c r="C301" s="215" t="s">
        <v>379</v>
      </c>
      <c r="D301" s="215"/>
      <c r="E301" s="210"/>
    </row>
    <row r="302">
      <c r="A302" s="213"/>
      <c r="B302" s="217" t="s">
        <v>91</v>
      </c>
      <c r="C302" s="217" t="s">
        <v>118</v>
      </c>
      <c r="D302" s="217" t="s">
        <v>380</v>
      </c>
      <c r="E302" s="210"/>
    </row>
    <row r="303">
      <c r="A303" s="213"/>
      <c r="B303" s="217" t="s">
        <v>91</v>
      </c>
      <c r="C303" s="217" t="s">
        <v>118</v>
      </c>
      <c r="D303" s="215" t="s">
        <v>387</v>
      </c>
      <c r="E303" s="210"/>
    </row>
    <row r="304">
      <c r="A304" s="213"/>
      <c r="B304" s="217"/>
      <c r="C304" s="215"/>
      <c r="D304" s="215"/>
      <c r="E304" s="210"/>
    </row>
    <row r="305">
      <c r="A305" s="213"/>
      <c r="B305" s="217" t="s">
        <v>91</v>
      </c>
      <c r="C305" s="217" t="s">
        <v>118</v>
      </c>
      <c r="D305" s="217" t="s">
        <v>374</v>
      </c>
      <c r="E305" s="210"/>
    </row>
    <row r="306">
      <c r="A306" s="213"/>
      <c r="B306" s="217" t="s">
        <v>91</v>
      </c>
      <c r="C306" s="215" t="s">
        <v>375</v>
      </c>
      <c r="D306" s="215" t="s">
        <v>376</v>
      </c>
      <c r="E306" s="210"/>
    </row>
    <row r="307">
      <c r="A307" s="213"/>
      <c r="B307" s="217" t="s">
        <v>91</v>
      </c>
      <c r="C307" s="217" t="s">
        <v>118</v>
      </c>
      <c r="D307" s="215" t="s">
        <v>388</v>
      </c>
      <c r="E307" s="210"/>
    </row>
    <row r="308">
      <c r="A308" s="213"/>
      <c r="B308" s="217" t="s">
        <v>91</v>
      </c>
      <c r="C308" s="217" t="s">
        <v>118</v>
      </c>
      <c r="D308" s="215" t="s">
        <v>389</v>
      </c>
      <c r="E308" s="210"/>
    </row>
    <row r="309">
      <c r="A309" s="213"/>
      <c r="B309" s="217" t="s">
        <v>91</v>
      </c>
      <c r="C309" s="215" t="s">
        <v>379</v>
      </c>
      <c r="D309" s="215"/>
      <c r="E309" s="210"/>
    </row>
    <row r="310">
      <c r="A310" s="213"/>
      <c r="B310" s="217" t="s">
        <v>91</v>
      </c>
      <c r="C310" s="217" t="s">
        <v>118</v>
      </c>
      <c r="D310" s="217" t="s">
        <v>380</v>
      </c>
      <c r="E310" s="210"/>
    </row>
    <row r="311">
      <c r="A311" s="213"/>
      <c r="B311" s="217" t="s">
        <v>91</v>
      </c>
      <c r="C311" s="217" t="s">
        <v>118</v>
      </c>
      <c r="D311" s="215" t="s">
        <v>390</v>
      </c>
      <c r="E311" s="210"/>
    </row>
    <row r="312">
      <c r="A312" s="213"/>
      <c r="B312" s="217"/>
      <c r="C312" s="215"/>
      <c r="D312" s="215"/>
      <c r="E312" s="210"/>
    </row>
    <row r="313">
      <c r="A313" s="213"/>
      <c r="B313" s="217" t="s">
        <v>91</v>
      </c>
      <c r="C313" s="217" t="s">
        <v>118</v>
      </c>
      <c r="D313" s="217" t="s">
        <v>391</v>
      </c>
      <c r="E313" s="210" t="s">
        <v>366</v>
      </c>
    </row>
    <row r="314">
      <c r="A314" s="213"/>
      <c r="B314" s="217" t="s">
        <v>91</v>
      </c>
      <c r="C314" s="217" t="s">
        <v>118</v>
      </c>
      <c r="D314" s="217" t="s">
        <v>392</v>
      </c>
      <c r="E314" s="210" t="s">
        <v>368</v>
      </c>
    </row>
    <row r="315">
      <c r="A315" s="213"/>
      <c r="B315" s="217" t="s">
        <v>91</v>
      </c>
      <c r="C315" s="217" t="s">
        <v>118</v>
      </c>
      <c r="D315" s="217" t="s">
        <v>393</v>
      </c>
      <c r="E315" s="210" t="s">
        <v>370</v>
      </c>
    </row>
    <row r="316">
      <c r="A316" s="213"/>
      <c r="B316" s="217" t="s">
        <v>91</v>
      </c>
      <c r="C316" s="217" t="s">
        <v>118</v>
      </c>
      <c r="D316" s="217" t="s">
        <v>394</v>
      </c>
      <c r="E316" s="210" t="s">
        <v>372</v>
      </c>
    </row>
    <row r="317">
      <c r="A317" s="213"/>
      <c r="B317" s="217" t="s">
        <v>91</v>
      </c>
      <c r="C317" s="217" t="s">
        <v>118</v>
      </c>
      <c r="D317" s="217" t="s">
        <v>395</v>
      </c>
      <c r="E317" s="210"/>
    </row>
    <row r="318">
      <c r="A318" s="213"/>
      <c r="B318" s="217" t="s">
        <v>91</v>
      </c>
      <c r="C318" s="217" t="s">
        <v>118</v>
      </c>
      <c r="D318" s="215" t="s">
        <v>396</v>
      </c>
      <c r="E318" s="210"/>
    </row>
    <row r="319">
      <c r="A319" s="213"/>
      <c r="B319" s="217" t="s">
        <v>91</v>
      </c>
      <c r="C319" s="217" t="s">
        <v>118</v>
      </c>
      <c r="D319" s="215" t="s">
        <v>397</v>
      </c>
      <c r="E319" s="210" t="s">
        <v>398</v>
      </c>
    </row>
    <row r="320">
      <c r="A320" s="213"/>
      <c r="B320" s="217" t="s">
        <v>91</v>
      </c>
      <c r="C320" s="217" t="s">
        <v>399</v>
      </c>
      <c r="D320" s="217" t="s">
        <v>400</v>
      </c>
      <c r="E320" s="210"/>
    </row>
    <row r="321">
      <c r="A321" s="213"/>
      <c r="B321" s="217" t="s">
        <v>91</v>
      </c>
      <c r="C321" s="217" t="s">
        <v>123</v>
      </c>
      <c r="D321" s="217" t="s">
        <v>401</v>
      </c>
      <c r="E321" s="210"/>
    </row>
    <row r="322">
      <c r="A322" s="213"/>
      <c r="B322" s="217" t="s">
        <v>91</v>
      </c>
      <c r="C322" s="217" t="s">
        <v>351</v>
      </c>
      <c r="D322" s="217" t="s">
        <v>402</v>
      </c>
      <c r="E322" s="210"/>
    </row>
    <row r="323">
      <c r="A323" s="213"/>
      <c r="B323" s="217"/>
      <c r="C323" s="215"/>
      <c r="D323" s="215"/>
      <c r="E323" s="210"/>
    </row>
    <row r="324">
      <c r="A324" s="213"/>
      <c r="B324" s="217"/>
      <c r="C324" s="269"/>
      <c r="D324" s="269"/>
      <c r="E324" s="268"/>
    </row>
    <row r="325">
      <c r="A325" s="213" t="s">
        <v>403</v>
      </c>
      <c r="B325" s="217"/>
      <c r="C325" s="269"/>
      <c r="D325" s="269"/>
      <c r="E325" s="268"/>
    </row>
    <row r="326">
      <c r="A326" s="213"/>
      <c r="B326" s="18" t="s">
        <v>91</v>
      </c>
      <c r="C326" s="256" t="s">
        <v>349</v>
      </c>
      <c r="D326" s="255" t="s">
        <v>404</v>
      </c>
      <c r="E326" s="268"/>
    </row>
    <row r="327">
      <c r="A327" s="213"/>
      <c r="B327" s="18" t="s">
        <v>91</v>
      </c>
      <c r="C327" s="255" t="s">
        <v>336</v>
      </c>
      <c r="D327" s="255">
        <v>500</v>
      </c>
      <c r="E327" s="268"/>
    </row>
    <row r="328">
      <c r="A328" s="213"/>
      <c r="B328" s="18" t="s">
        <v>91</v>
      </c>
      <c r="C328" s="256" t="s">
        <v>349</v>
      </c>
      <c r="D328" s="255" t="s">
        <v>405</v>
      </c>
      <c r="E328" s="268"/>
    </row>
    <row r="329">
      <c r="A329" s="213"/>
      <c r="B329" s="18" t="s">
        <v>91</v>
      </c>
      <c r="C329" s="255" t="s">
        <v>336</v>
      </c>
      <c r="D329" s="255">
        <v>500</v>
      </c>
      <c r="E329" s="268"/>
    </row>
    <row r="330">
      <c r="A330" s="213"/>
      <c r="B330" s="18" t="s">
        <v>91</v>
      </c>
      <c r="C330" s="256" t="s">
        <v>349</v>
      </c>
      <c r="D330" s="255" t="s">
        <v>406</v>
      </c>
      <c r="E330" s="268"/>
    </row>
    <row r="331">
      <c r="A331" s="213"/>
      <c r="B331" s="18" t="s">
        <v>91</v>
      </c>
      <c r="C331" s="255" t="s">
        <v>336</v>
      </c>
      <c r="D331" s="255">
        <v>500</v>
      </c>
      <c r="E331" s="268"/>
    </row>
    <row r="332">
      <c r="A332" s="213"/>
      <c r="B332" s="18" t="s">
        <v>91</v>
      </c>
      <c r="C332" s="256" t="s">
        <v>349</v>
      </c>
      <c r="D332" s="255" t="s">
        <v>407</v>
      </c>
      <c r="E332" s="268"/>
    </row>
    <row r="333">
      <c r="A333" s="213"/>
      <c r="B333" s="18" t="s">
        <v>91</v>
      </c>
      <c r="C333" s="255" t="s">
        <v>336</v>
      </c>
      <c r="D333" s="255">
        <v>500</v>
      </c>
      <c r="E333" s="268"/>
    </row>
    <row r="334">
      <c r="A334" s="213"/>
      <c r="B334" s="18" t="s">
        <v>91</v>
      </c>
      <c r="C334" s="256" t="s">
        <v>349</v>
      </c>
      <c r="D334" s="255" t="s">
        <v>408</v>
      </c>
      <c r="E334" s="268"/>
    </row>
    <row r="335">
      <c r="A335" s="213"/>
      <c r="B335" s="18" t="s">
        <v>91</v>
      </c>
      <c r="C335" s="255" t="s">
        <v>336</v>
      </c>
      <c r="D335" s="255">
        <v>500</v>
      </c>
      <c r="E335" s="268"/>
    </row>
    <row r="336">
      <c r="A336" s="213"/>
      <c r="B336" s="18" t="s">
        <v>91</v>
      </c>
      <c r="C336" s="256" t="s">
        <v>349</v>
      </c>
      <c r="D336" s="255" t="s">
        <v>409</v>
      </c>
      <c r="E336" s="268"/>
    </row>
    <row r="337">
      <c r="A337" s="213"/>
      <c r="B337" s="18" t="s">
        <v>91</v>
      </c>
      <c r="C337" s="255" t="s">
        <v>336</v>
      </c>
      <c r="D337" s="255">
        <v>500</v>
      </c>
      <c r="E337" s="268"/>
    </row>
    <row r="338">
      <c r="A338" s="213"/>
      <c r="B338" s="18" t="s">
        <v>91</v>
      </c>
      <c r="C338" s="256" t="s">
        <v>349</v>
      </c>
      <c r="D338" s="255" t="s">
        <v>406</v>
      </c>
      <c r="E338" s="268"/>
    </row>
    <row r="339">
      <c r="A339" s="213"/>
      <c r="B339" s="18" t="s">
        <v>91</v>
      </c>
      <c r="C339" s="255" t="s">
        <v>336</v>
      </c>
      <c r="D339" s="255">
        <v>500</v>
      </c>
      <c r="E339" s="268"/>
    </row>
    <row r="340">
      <c r="A340" s="213"/>
      <c r="B340" s="18" t="s">
        <v>91</v>
      </c>
      <c r="C340" s="256" t="s">
        <v>349</v>
      </c>
      <c r="D340" s="255" t="s">
        <v>407</v>
      </c>
      <c r="E340" s="268"/>
    </row>
    <row r="341">
      <c r="A341" s="213"/>
      <c r="B341" s="18" t="s">
        <v>91</v>
      </c>
      <c r="C341" s="255" t="s">
        <v>336</v>
      </c>
      <c r="D341" s="255">
        <v>500</v>
      </c>
      <c r="E341" s="268"/>
    </row>
    <row r="342">
      <c r="A342" s="213"/>
      <c r="B342" s="18" t="s">
        <v>91</v>
      </c>
      <c r="C342" s="256" t="s">
        <v>349</v>
      </c>
      <c r="D342" s="255" t="s">
        <v>408</v>
      </c>
      <c r="E342" s="268"/>
    </row>
    <row r="343">
      <c r="A343" s="213"/>
      <c r="B343" s="18" t="s">
        <v>91</v>
      </c>
      <c r="C343" s="255" t="s">
        <v>336</v>
      </c>
      <c r="D343" s="255">
        <v>500</v>
      </c>
      <c r="E343" s="268"/>
    </row>
    <row r="344">
      <c r="A344" s="213"/>
      <c r="B344" s="18" t="s">
        <v>91</v>
      </c>
      <c r="C344" s="256" t="s">
        <v>349</v>
      </c>
      <c r="D344" s="255" t="s">
        <v>409</v>
      </c>
      <c r="E344" s="268"/>
    </row>
    <row r="345">
      <c r="A345" s="213"/>
      <c r="B345" s="18" t="s">
        <v>91</v>
      </c>
      <c r="C345" s="255" t="s">
        <v>336</v>
      </c>
      <c r="D345" s="255">
        <v>500</v>
      </c>
      <c r="E345" s="268"/>
    </row>
    <row r="346">
      <c r="A346" s="213"/>
      <c r="B346" s="18" t="s">
        <v>91</v>
      </c>
      <c r="C346" s="256" t="s">
        <v>349</v>
      </c>
      <c r="D346" s="255" t="s">
        <v>408</v>
      </c>
      <c r="E346" s="268"/>
    </row>
    <row r="347">
      <c r="A347" s="213"/>
      <c r="B347" s="18" t="s">
        <v>91</v>
      </c>
      <c r="C347" s="255" t="s">
        <v>336</v>
      </c>
      <c r="D347" s="255">
        <v>500</v>
      </c>
      <c r="E347" s="268"/>
    </row>
    <row r="348">
      <c r="A348" s="213"/>
      <c r="B348" s="18" t="s">
        <v>91</v>
      </c>
      <c r="C348" s="256" t="s">
        <v>349</v>
      </c>
      <c r="D348" s="255" t="s">
        <v>409</v>
      </c>
      <c r="E348" s="268"/>
    </row>
    <row r="349">
      <c r="A349" s="213"/>
      <c r="B349" s="18" t="s">
        <v>91</v>
      </c>
      <c r="C349" s="255" t="s">
        <v>336</v>
      </c>
      <c r="D349" s="255">
        <v>500</v>
      </c>
      <c r="E349" s="268"/>
    </row>
    <row r="350">
      <c r="A350" s="213"/>
      <c r="B350" s="18" t="s">
        <v>91</v>
      </c>
      <c r="C350" s="256" t="s">
        <v>349</v>
      </c>
      <c r="D350" s="255" t="s">
        <v>406</v>
      </c>
      <c r="E350" s="268"/>
    </row>
    <row r="351">
      <c r="A351" s="213"/>
      <c r="B351" s="18" t="s">
        <v>91</v>
      </c>
      <c r="C351" s="255" t="s">
        <v>336</v>
      </c>
      <c r="D351" s="255">
        <v>500</v>
      </c>
      <c r="E351" s="268"/>
    </row>
    <row r="352">
      <c r="A352" s="213"/>
      <c r="B352" s="18" t="s">
        <v>91</v>
      </c>
      <c r="C352" s="256" t="s">
        <v>349</v>
      </c>
      <c r="D352" s="255" t="s">
        <v>407</v>
      </c>
      <c r="E352" s="268"/>
    </row>
    <row r="353">
      <c r="A353" s="213"/>
      <c r="B353" s="217"/>
      <c r="C353" s="269"/>
      <c r="D353" s="269"/>
      <c r="E353" s="268"/>
    </row>
    <row r="354">
      <c r="A354" s="213"/>
      <c r="B354" s="217"/>
      <c r="C354" s="215"/>
      <c r="D354" s="210"/>
      <c r="E354" s="210"/>
    </row>
    <row r="355">
      <c r="A355" s="262" t="s">
        <v>410</v>
      </c>
      <c r="B355" s="263"/>
      <c r="C355" s="264"/>
      <c r="D355" s="264"/>
      <c r="E355" s="216" t="s">
        <v>411</v>
      </c>
    </row>
    <row r="356">
      <c r="A356" s="262"/>
      <c r="B356" s="265" t="s">
        <v>91</v>
      </c>
      <c r="C356" s="266" t="s">
        <v>92</v>
      </c>
      <c r="D356" s="267" t="s">
        <v>412</v>
      </c>
      <c r="E356" s="206"/>
    </row>
    <row r="357">
      <c r="A357" s="262"/>
      <c r="B357" s="265" t="s">
        <v>91</v>
      </c>
      <c r="C357" s="268" t="s">
        <v>130</v>
      </c>
      <c r="D357" s="267" t="s">
        <v>134</v>
      </c>
      <c r="E357" s="206"/>
    </row>
    <row r="358">
      <c r="A358" s="262"/>
      <c r="B358" s="265" t="s">
        <v>91</v>
      </c>
      <c r="C358" s="269" t="s">
        <v>413</v>
      </c>
      <c r="D358" s="267" t="s">
        <v>414</v>
      </c>
      <c r="E358" s="206"/>
    </row>
    <row r="359">
      <c r="A359" s="262"/>
      <c r="B359" s="265" t="s">
        <v>91</v>
      </c>
      <c r="C359" s="267" t="s">
        <v>336</v>
      </c>
      <c r="D359" s="267">
        <v>5000</v>
      </c>
      <c r="E359" s="206"/>
    </row>
    <row r="360">
      <c r="A360" s="262" t="s">
        <v>415</v>
      </c>
      <c r="B360" s="270"/>
      <c r="C360" s="268"/>
      <c r="D360" s="268"/>
      <c r="E360" s="206"/>
    </row>
    <row r="361">
      <c r="A361" s="262"/>
      <c r="B361" s="265" t="s">
        <v>91</v>
      </c>
      <c r="C361" s="266" t="s">
        <v>92</v>
      </c>
      <c r="D361" s="267" t="s">
        <v>416</v>
      </c>
      <c r="E361" s="206"/>
    </row>
    <row r="362">
      <c r="A362" s="262"/>
      <c r="B362" s="265" t="s">
        <v>91</v>
      </c>
      <c r="C362" s="268" t="s">
        <v>130</v>
      </c>
      <c r="D362" s="267" t="s">
        <v>134</v>
      </c>
      <c r="E362" s="206"/>
    </row>
    <row r="363">
      <c r="A363" s="262"/>
      <c r="B363" s="265" t="s">
        <v>91</v>
      </c>
      <c r="C363" s="269" t="s">
        <v>413</v>
      </c>
      <c r="D363" s="267" t="s">
        <v>417</v>
      </c>
      <c r="E363" s="206"/>
    </row>
    <row r="364">
      <c r="A364" s="262"/>
      <c r="B364" s="265" t="s">
        <v>91</v>
      </c>
      <c r="C364" s="267" t="s">
        <v>336</v>
      </c>
      <c r="D364" s="267">
        <v>3000</v>
      </c>
      <c r="E364" s="206"/>
    </row>
    <row r="365">
      <c r="A365" s="262" t="s">
        <v>418</v>
      </c>
      <c r="B365" s="270"/>
      <c r="C365" s="268"/>
      <c r="D365" s="268"/>
      <c r="E365" s="206"/>
    </row>
    <row r="366">
      <c r="A366" s="262"/>
      <c r="B366" s="270" t="s">
        <v>91</v>
      </c>
      <c r="C366" s="266" t="s">
        <v>92</v>
      </c>
      <c r="D366" s="267" t="s">
        <v>419</v>
      </c>
      <c r="E366" s="206"/>
    </row>
    <row r="367">
      <c r="A367" s="262"/>
      <c r="B367" s="265" t="s">
        <v>91</v>
      </c>
      <c r="C367" s="268" t="s">
        <v>130</v>
      </c>
      <c r="D367" s="267" t="s">
        <v>241</v>
      </c>
      <c r="E367" s="206"/>
    </row>
    <row r="368">
      <c r="A368" s="262"/>
      <c r="B368" s="265"/>
      <c r="C368" s="269" t="s">
        <v>413</v>
      </c>
      <c r="D368" s="267" t="s">
        <v>420</v>
      </c>
      <c r="E368" s="206"/>
    </row>
    <row r="369">
      <c r="A369" s="262"/>
      <c r="B369" s="270" t="s">
        <v>91</v>
      </c>
      <c r="C369" s="267" t="s">
        <v>336</v>
      </c>
      <c r="D369" s="267">
        <v>100</v>
      </c>
      <c r="E369" s="206"/>
    </row>
    <row r="370">
      <c r="A370" s="262" t="s">
        <v>421</v>
      </c>
      <c r="B370" s="270"/>
      <c r="C370" s="268"/>
      <c r="D370" s="268"/>
      <c r="E370" s="206"/>
    </row>
    <row r="371">
      <c r="A371" s="262"/>
      <c r="B371" s="265"/>
      <c r="C371" s="266" t="s">
        <v>349</v>
      </c>
      <c r="D371" s="267" t="s">
        <v>422</v>
      </c>
      <c r="E371" s="206"/>
    </row>
    <row r="372">
      <c r="A372" s="262"/>
      <c r="B372" s="265" t="s">
        <v>91</v>
      </c>
      <c r="C372" s="269" t="s">
        <v>413</v>
      </c>
      <c r="D372" s="267" t="s">
        <v>423</v>
      </c>
      <c r="E372" s="206"/>
    </row>
    <row r="373">
      <c r="A373" s="262"/>
      <c r="B373" s="270" t="s">
        <v>91</v>
      </c>
      <c r="C373" s="268" t="s">
        <v>130</v>
      </c>
      <c r="D373" s="267" t="s">
        <v>241</v>
      </c>
      <c r="E373" s="206"/>
    </row>
    <row r="374">
      <c r="A374" s="262"/>
      <c r="B374" s="270" t="s">
        <v>91</v>
      </c>
      <c r="C374" s="267" t="s">
        <v>336</v>
      </c>
      <c r="D374" s="267">
        <v>100</v>
      </c>
      <c r="E374" s="206"/>
    </row>
    <row r="375" hidden="1">
      <c r="A375" s="209" t="s">
        <v>424</v>
      </c>
      <c r="B375" s="208"/>
      <c r="C375" s="210"/>
      <c r="D375" s="210"/>
      <c r="E375" s="206"/>
    </row>
    <row r="376" hidden="1">
      <c r="A376" s="209"/>
      <c r="B376" s="214"/>
      <c r="C376" s="212" t="s">
        <v>425</v>
      </c>
      <c r="D376" s="211" t="s">
        <v>426</v>
      </c>
      <c r="E376" s="206"/>
    </row>
    <row r="377" hidden="1">
      <c r="A377" s="209"/>
      <c r="B377" s="214"/>
      <c r="C377" s="212" t="s">
        <v>336</v>
      </c>
      <c r="D377" s="211">
        <v>300</v>
      </c>
      <c r="E377" s="206"/>
    </row>
    <row r="378" hidden="1">
      <c r="A378" s="209"/>
      <c r="B378" s="214"/>
      <c r="C378" s="212" t="s">
        <v>425</v>
      </c>
      <c r="D378" s="211" t="s">
        <v>427</v>
      </c>
      <c r="E378" s="206"/>
    </row>
    <row r="379" hidden="1">
      <c r="A379" s="209"/>
      <c r="B379" s="214"/>
      <c r="C379" s="212" t="s">
        <v>336</v>
      </c>
      <c r="D379" s="211">
        <v>200</v>
      </c>
      <c r="E379" s="206"/>
    </row>
    <row r="380" hidden="1">
      <c r="A380" s="209" t="s">
        <v>428</v>
      </c>
      <c r="B380" s="208"/>
      <c r="C380" s="210"/>
      <c r="D380" s="210"/>
      <c r="E380" s="206"/>
    </row>
    <row r="381" hidden="1">
      <c r="A381" s="209"/>
      <c r="B381" s="214"/>
      <c r="C381" s="212" t="s">
        <v>425</v>
      </c>
      <c r="D381" s="211" t="s">
        <v>429</v>
      </c>
      <c r="E381" s="206"/>
    </row>
    <row r="382" hidden="1">
      <c r="A382" s="209"/>
      <c r="B382" s="214"/>
      <c r="C382" s="212" t="s">
        <v>336</v>
      </c>
      <c r="D382" s="211">
        <v>300</v>
      </c>
      <c r="E382" s="206"/>
    </row>
    <row r="383" hidden="1">
      <c r="A383" s="209"/>
      <c r="B383" s="214"/>
      <c r="C383" s="212" t="s">
        <v>425</v>
      </c>
      <c r="D383" s="211" t="s">
        <v>427</v>
      </c>
      <c r="E383" s="206"/>
    </row>
    <row r="384" hidden="1">
      <c r="A384" s="209"/>
      <c r="B384" s="214"/>
      <c r="C384" s="212" t="s">
        <v>336</v>
      </c>
      <c r="D384" s="211">
        <v>200</v>
      </c>
      <c r="E384" s="206"/>
    </row>
    <row r="385" hidden="1">
      <c r="A385" s="209" t="s">
        <v>430</v>
      </c>
      <c r="B385" s="208"/>
      <c r="C385" s="210"/>
      <c r="D385" s="210"/>
      <c r="E385" s="206"/>
    </row>
    <row r="386" hidden="1">
      <c r="A386" s="209"/>
      <c r="B386" s="214"/>
      <c r="C386" s="212" t="s">
        <v>425</v>
      </c>
      <c r="D386" s="211" t="s">
        <v>431</v>
      </c>
      <c r="E386" s="206"/>
    </row>
    <row r="387" hidden="1">
      <c r="A387" s="209"/>
      <c r="B387" s="214"/>
      <c r="C387" s="212" t="s">
        <v>336</v>
      </c>
      <c r="D387" s="211">
        <v>300</v>
      </c>
      <c r="E387" s="206"/>
    </row>
    <row r="388" hidden="1">
      <c r="A388" s="209"/>
      <c r="B388" s="214"/>
      <c r="C388" s="212" t="s">
        <v>425</v>
      </c>
      <c r="D388" s="211" t="s">
        <v>427</v>
      </c>
      <c r="E388" s="206"/>
    </row>
    <row r="389" hidden="1">
      <c r="A389" s="209"/>
      <c r="B389" s="214"/>
      <c r="C389" s="212" t="s">
        <v>336</v>
      </c>
      <c r="D389" s="211">
        <v>200</v>
      </c>
      <c r="E389" s="206"/>
    </row>
    <row r="390" hidden="1">
      <c r="A390" s="209" t="s">
        <v>432</v>
      </c>
      <c r="B390" s="208"/>
      <c r="C390" s="210"/>
      <c r="D390" s="210"/>
      <c r="E390" s="206"/>
    </row>
    <row r="391" hidden="1">
      <c r="A391" s="209"/>
      <c r="B391" s="208"/>
      <c r="C391" s="212" t="s">
        <v>425</v>
      </c>
      <c r="D391" s="211" t="s">
        <v>433</v>
      </c>
      <c r="E391" s="206"/>
    </row>
    <row r="392" hidden="1">
      <c r="A392" s="209"/>
      <c r="B392" s="208"/>
      <c r="C392" s="212" t="s">
        <v>336</v>
      </c>
      <c r="D392" s="211">
        <v>300</v>
      </c>
      <c r="E392" s="206"/>
    </row>
    <row r="393" hidden="1">
      <c r="A393" s="209"/>
      <c r="B393" s="208"/>
      <c r="C393" s="212" t="s">
        <v>425</v>
      </c>
      <c r="D393" s="211" t="s">
        <v>427</v>
      </c>
      <c r="E393" s="206"/>
    </row>
    <row r="394" hidden="1">
      <c r="A394" s="209"/>
      <c r="B394" s="208"/>
      <c r="C394" s="212" t="s">
        <v>336</v>
      </c>
      <c r="D394" s="211">
        <v>200</v>
      </c>
      <c r="E394" s="206"/>
    </row>
    <row r="395">
      <c r="A395" s="209" t="s">
        <v>434</v>
      </c>
      <c r="B395" s="208"/>
      <c r="C395" s="210"/>
      <c r="D395" s="210"/>
      <c r="E395" s="206"/>
    </row>
    <row r="396">
      <c r="A396" s="209"/>
      <c r="B396" s="214"/>
      <c r="C396" s="212" t="s">
        <v>425</v>
      </c>
      <c r="D396" s="211" t="s">
        <v>435</v>
      </c>
      <c r="E396" s="206"/>
    </row>
    <row r="397">
      <c r="A397" s="209"/>
      <c r="B397" s="214"/>
      <c r="C397" s="212" t="s">
        <v>336</v>
      </c>
      <c r="D397" s="211">
        <v>200</v>
      </c>
      <c r="E397" s="206"/>
    </row>
    <row r="398">
      <c r="A398" s="209"/>
      <c r="B398" s="214"/>
      <c r="C398" s="212" t="s">
        <v>425</v>
      </c>
      <c r="D398" s="211" t="s">
        <v>427</v>
      </c>
      <c r="E398" s="206"/>
    </row>
    <row r="399">
      <c r="A399" s="209"/>
      <c r="B399" s="214"/>
      <c r="C399" s="212" t="s">
        <v>336</v>
      </c>
      <c r="D399" s="211">
        <v>200</v>
      </c>
      <c r="E399" s="206"/>
    </row>
    <row r="400">
      <c r="A400" s="209" t="s">
        <v>436</v>
      </c>
      <c r="B400" s="208"/>
      <c r="C400" s="210"/>
      <c r="D400" s="210"/>
      <c r="E400" s="206"/>
    </row>
    <row r="401">
      <c r="A401" s="209"/>
      <c r="B401" s="214"/>
      <c r="C401" s="212" t="s">
        <v>425</v>
      </c>
      <c r="D401" s="211" t="s">
        <v>437</v>
      </c>
      <c r="E401" s="206"/>
    </row>
    <row r="402">
      <c r="A402" s="209"/>
      <c r="B402" s="214"/>
      <c r="C402" s="212" t="s">
        <v>336</v>
      </c>
      <c r="D402" s="211">
        <v>200</v>
      </c>
      <c r="E402" s="206"/>
    </row>
    <row r="403">
      <c r="A403" s="209"/>
      <c r="B403" s="214"/>
      <c r="C403" s="212" t="s">
        <v>425</v>
      </c>
      <c r="D403" s="211" t="s">
        <v>427</v>
      </c>
      <c r="E403" s="206"/>
    </row>
    <row r="404">
      <c r="A404" s="209"/>
      <c r="B404" s="214"/>
      <c r="C404" s="212" t="s">
        <v>336</v>
      </c>
      <c r="D404" s="211">
        <v>200</v>
      </c>
      <c r="E404" s="206"/>
    </row>
    <row r="405">
      <c r="A405" s="209" t="s">
        <v>438</v>
      </c>
      <c r="B405" s="208"/>
      <c r="C405" s="210"/>
      <c r="D405" s="210"/>
      <c r="E405" s="206"/>
    </row>
    <row r="406">
      <c r="A406" s="209"/>
      <c r="B406" s="214"/>
      <c r="C406" s="212" t="s">
        <v>425</v>
      </c>
      <c r="D406" s="211" t="s">
        <v>439</v>
      </c>
      <c r="E406" s="206"/>
    </row>
    <row r="407">
      <c r="A407" s="209"/>
      <c r="B407" s="214"/>
      <c r="C407" s="212" t="s">
        <v>336</v>
      </c>
      <c r="D407" s="211">
        <v>200</v>
      </c>
      <c r="E407" s="206"/>
    </row>
    <row r="408">
      <c r="A408" s="209"/>
      <c r="B408" s="214"/>
      <c r="C408" s="212" t="s">
        <v>425</v>
      </c>
      <c r="D408" s="211" t="s">
        <v>427</v>
      </c>
      <c r="E408" s="206"/>
    </row>
    <row r="409">
      <c r="A409" s="209"/>
      <c r="B409" s="214"/>
      <c r="C409" s="212" t="s">
        <v>336</v>
      </c>
      <c r="D409" s="211">
        <v>200</v>
      </c>
      <c r="E409" s="206"/>
    </row>
    <row r="410">
      <c r="A410" s="209" t="s">
        <v>440</v>
      </c>
      <c r="B410" s="208"/>
      <c r="C410" s="210"/>
      <c r="D410" s="210"/>
      <c r="E410" s="206"/>
    </row>
    <row r="411">
      <c r="A411" s="209"/>
      <c r="B411" s="214"/>
      <c r="C411" s="212" t="s">
        <v>425</v>
      </c>
      <c r="D411" s="211" t="s">
        <v>441</v>
      </c>
      <c r="E411" s="206"/>
    </row>
    <row r="412">
      <c r="A412" s="209"/>
      <c r="B412" s="214"/>
      <c r="C412" s="212" t="s">
        <v>336</v>
      </c>
      <c r="D412" s="211">
        <v>200</v>
      </c>
      <c r="E412" s="206"/>
    </row>
    <row r="413">
      <c r="A413" s="209"/>
      <c r="B413" s="214"/>
      <c r="C413" s="212" t="s">
        <v>425</v>
      </c>
      <c r="D413" s="211" t="s">
        <v>427</v>
      </c>
      <c r="E413" s="206"/>
    </row>
    <row r="414">
      <c r="A414" s="209"/>
      <c r="B414" s="214"/>
      <c r="C414" s="212" t="s">
        <v>336</v>
      </c>
      <c r="D414" s="211">
        <v>200</v>
      </c>
      <c r="E414" s="206"/>
    </row>
    <row r="415">
      <c r="A415" s="209" t="s">
        <v>442</v>
      </c>
      <c r="B415" s="208"/>
      <c r="C415" s="210"/>
      <c r="D415" s="210"/>
      <c r="E415" s="206"/>
    </row>
    <row r="416">
      <c r="A416" s="209"/>
      <c r="B416" s="214"/>
      <c r="C416" s="212" t="s">
        <v>425</v>
      </c>
      <c r="D416" s="211" t="s">
        <v>443</v>
      </c>
      <c r="E416" s="206"/>
    </row>
    <row r="417">
      <c r="A417" s="209"/>
      <c r="B417" s="214"/>
      <c r="C417" s="212" t="s">
        <v>336</v>
      </c>
      <c r="D417" s="211">
        <v>200</v>
      </c>
      <c r="E417" s="206"/>
    </row>
    <row r="418">
      <c r="A418" s="209"/>
      <c r="B418" s="214"/>
      <c r="C418" s="212" t="s">
        <v>425</v>
      </c>
      <c r="D418" s="211" t="s">
        <v>427</v>
      </c>
      <c r="E418" s="206"/>
    </row>
    <row r="419">
      <c r="A419" s="209"/>
      <c r="B419" s="214"/>
      <c r="C419" s="212" t="s">
        <v>336</v>
      </c>
      <c r="D419" s="211">
        <v>200</v>
      </c>
      <c r="E419" s="206"/>
    </row>
    <row r="420">
      <c r="A420" s="209" t="s">
        <v>444</v>
      </c>
      <c r="B420" s="208"/>
      <c r="C420" s="210"/>
      <c r="D420" s="210"/>
      <c r="E420" s="206"/>
    </row>
    <row r="421">
      <c r="A421" s="209"/>
      <c r="B421" s="214"/>
      <c r="C421" s="212" t="s">
        <v>425</v>
      </c>
      <c r="D421" s="211" t="s">
        <v>435</v>
      </c>
      <c r="E421" s="206"/>
    </row>
    <row r="422">
      <c r="A422" s="209"/>
      <c r="B422" s="214"/>
      <c r="C422" s="212" t="s">
        <v>336</v>
      </c>
      <c r="D422" s="211">
        <v>2400</v>
      </c>
      <c r="E422" s="206"/>
    </row>
    <row r="423">
      <c r="A423" s="209"/>
      <c r="B423" s="214"/>
      <c r="C423" s="212" t="s">
        <v>425</v>
      </c>
      <c r="D423" s="211" t="s">
        <v>427</v>
      </c>
      <c r="E423" s="206"/>
    </row>
    <row r="424">
      <c r="A424" s="209"/>
      <c r="B424" s="214"/>
      <c r="C424" s="212" t="s">
        <v>336</v>
      </c>
      <c r="D424" s="211">
        <v>200</v>
      </c>
      <c r="E424" s="206"/>
    </row>
    <row r="425">
      <c r="A425" s="209" t="s">
        <v>445</v>
      </c>
      <c r="B425" s="208"/>
      <c r="C425" s="210"/>
      <c r="D425" s="210"/>
      <c r="E425" s="206"/>
    </row>
    <row r="426">
      <c r="A426" s="209"/>
      <c r="B426" s="214"/>
      <c r="C426" s="212" t="s">
        <v>425</v>
      </c>
      <c r="D426" s="211" t="s">
        <v>437</v>
      </c>
      <c r="E426" s="206"/>
    </row>
    <row r="427">
      <c r="A427" s="209"/>
      <c r="B427" s="214"/>
      <c r="C427" s="212" t="s">
        <v>336</v>
      </c>
      <c r="D427" s="211">
        <v>2400</v>
      </c>
      <c r="E427" s="206"/>
    </row>
    <row r="428">
      <c r="A428" s="209"/>
      <c r="B428" s="214"/>
      <c r="C428" s="212" t="s">
        <v>425</v>
      </c>
      <c r="D428" s="211" t="s">
        <v>427</v>
      </c>
      <c r="E428" s="206"/>
    </row>
    <row r="429">
      <c r="A429" s="209"/>
      <c r="B429" s="214"/>
      <c r="C429" s="212" t="s">
        <v>336</v>
      </c>
      <c r="D429" s="211">
        <v>200</v>
      </c>
      <c r="E429" s="206"/>
    </row>
    <row r="430">
      <c r="A430" s="209" t="s">
        <v>446</v>
      </c>
      <c r="B430" s="208"/>
      <c r="C430" s="210"/>
      <c r="D430" s="210"/>
      <c r="E430" s="206"/>
    </row>
    <row r="431">
      <c r="A431" s="209"/>
      <c r="B431" s="214"/>
      <c r="C431" s="212" t="s">
        <v>425</v>
      </c>
      <c r="D431" s="211" t="s">
        <v>439</v>
      </c>
      <c r="E431" s="206"/>
    </row>
    <row r="432">
      <c r="A432" s="209"/>
      <c r="B432" s="214"/>
      <c r="C432" s="212" t="s">
        <v>336</v>
      </c>
      <c r="D432" s="211">
        <v>2400</v>
      </c>
      <c r="E432" s="206"/>
    </row>
    <row r="433">
      <c r="A433" s="209"/>
      <c r="B433" s="214"/>
      <c r="C433" s="212" t="s">
        <v>425</v>
      </c>
      <c r="D433" s="211" t="s">
        <v>427</v>
      </c>
      <c r="E433" s="206"/>
    </row>
    <row r="434">
      <c r="A434" s="209"/>
      <c r="B434" s="214"/>
      <c r="C434" s="212" t="s">
        <v>336</v>
      </c>
      <c r="D434" s="211">
        <v>200</v>
      </c>
      <c r="E434" s="206"/>
    </row>
    <row r="435">
      <c r="A435" s="209" t="s">
        <v>447</v>
      </c>
      <c r="B435" s="208"/>
      <c r="C435" s="210"/>
      <c r="D435" s="210"/>
      <c r="E435" s="206"/>
    </row>
    <row r="436">
      <c r="A436" s="209"/>
      <c r="B436" s="214"/>
      <c r="C436" s="212" t="s">
        <v>425</v>
      </c>
      <c r="D436" s="211" t="s">
        <v>441</v>
      </c>
      <c r="E436" s="206"/>
    </row>
    <row r="437">
      <c r="A437" s="209"/>
      <c r="B437" s="214"/>
      <c r="C437" s="212" t="s">
        <v>336</v>
      </c>
      <c r="D437" s="211">
        <v>2400</v>
      </c>
      <c r="E437" s="206"/>
    </row>
    <row r="438">
      <c r="A438" s="209"/>
      <c r="B438" s="214"/>
      <c r="C438" s="212" t="s">
        <v>425</v>
      </c>
      <c r="D438" s="211" t="s">
        <v>427</v>
      </c>
      <c r="E438" s="206"/>
    </row>
    <row r="439">
      <c r="A439" s="209"/>
      <c r="B439" s="214"/>
      <c r="C439" s="212" t="s">
        <v>336</v>
      </c>
      <c r="D439" s="211">
        <v>200</v>
      </c>
      <c r="E439" s="206"/>
    </row>
    <row r="440">
      <c r="A440" s="209" t="s">
        <v>448</v>
      </c>
      <c r="B440" s="208"/>
      <c r="C440" s="210"/>
      <c r="D440" s="210"/>
      <c r="E440" s="206"/>
    </row>
    <row r="441">
      <c r="A441" s="209"/>
      <c r="B441" s="214"/>
      <c r="C441" s="212" t="s">
        <v>425</v>
      </c>
      <c r="D441" s="211" t="s">
        <v>443</v>
      </c>
      <c r="E441" s="206"/>
    </row>
    <row r="442">
      <c r="A442" s="209"/>
      <c r="B442" s="214"/>
      <c r="C442" s="212" t="s">
        <v>336</v>
      </c>
      <c r="D442" s="211">
        <v>2400</v>
      </c>
      <c r="E442" s="206"/>
    </row>
    <row r="443">
      <c r="A443" s="209"/>
      <c r="B443" s="214"/>
      <c r="C443" s="212" t="s">
        <v>425</v>
      </c>
      <c r="D443" s="211" t="s">
        <v>427</v>
      </c>
      <c r="E443" s="206"/>
    </row>
    <row r="444">
      <c r="A444" s="209"/>
      <c r="B444" s="214"/>
      <c r="C444" s="212" t="s">
        <v>336</v>
      </c>
      <c r="D444" s="211">
        <v>200</v>
      </c>
      <c r="E444" s="206"/>
    </row>
    <row r="445">
      <c r="A445" s="209" t="s">
        <v>449</v>
      </c>
      <c r="B445" s="208"/>
      <c r="C445" s="210"/>
      <c r="D445" s="210"/>
      <c r="E445" s="206"/>
    </row>
    <row r="446">
      <c r="A446" s="209"/>
      <c r="B446" s="208"/>
      <c r="C446" s="212" t="s">
        <v>450</v>
      </c>
      <c r="D446" s="211" t="s">
        <v>451</v>
      </c>
      <c r="E446" s="206"/>
    </row>
    <row r="447">
      <c r="A447" s="209"/>
      <c r="B447" s="208"/>
      <c r="C447" s="212" t="s">
        <v>336</v>
      </c>
      <c r="D447" s="211">
        <v>100</v>
      </c>
      <c r="E447" s="206"/>
    </row>
    <row r="448">
      <c r="A448" s="209" t="s">
        <v>452</v>
      </c>
      <c r="B448" s="208"/>
      <c r="C448" s="210"/>
      <c r="D448" s="210"/>
      <c r="E448" s="206"/>
    </row>
    <row r="449">
      <c r="A449" s="209"/>
      <c r="B449" s="208"/>
      <c r="C449" s="212" t="s">
        <v>450</v>
      </c>
      <c r="D449" s="211" t="s">
        <v>453</v>
      </c>
      <c r="E449" s="206"/>
    </row>
    <row r="450">
      <c r="A450" s="209"/>
      <c r="B450" s="208"/>
      <c r="C450" s="212" t="s">
        <v>336</v>
      </c>
      <c r="D450" s="211">
        <v>100</v>
      </c>
      <c r="E450" s="206"/>
    </row>
    <row r="451">
      <c r="A451" s="209" t="s">
        <v>454</v>
      </c>
      <c r="B451" s="208"/>
      <c r="C451" s="210"/>
      <c r="D451" s="210"/>
      <c r="E451" s="206"/>
    </row>
    <row r="452">
      <c r="A452" s="209"/>
      <c r="B452" s="208"/>
      <c r="C452" s="212" t="s">
        <v>450</v>
      </c>
      <c r="D452" s="211" t="s">
        <v>455</v>
      </c>
      <c r="E452" s="206"/>
    </row>
    <row r="453">
      <c r="A453" s="209"/>
      <c r="B453" s="208"/>
      <c r="C453" s="212" t="s">
        <v>336</v>
      </c>
      <c r="D453" s="211">
        <v>100</v>
      </c>
      <c r="E453" s="206"/>
    </row>
    <row r="454">
      <c r="A454" s="209" t="s">
        <v>456</v>
      </c>
      <c r="B454" s="208"/>
      <c r="C454" s="210"/>
      <c r="D454" s="210"/>
      <c r="E454" s="206"/>
    </row>
    <row r="455">
      <c r="A455" s="209"/>
      <c r="B455" s="208"/>
      <c r="C455" s="212" t="s">
        <v>450</v>
      </c>
      <c r="D455" s="211" t="s">
        <v>457</v>
      </c>
      <c r="E455" s="206"/>
    </row>
    <row r="456">
      <c r="A456" s="209"/>
      <c r="B456" s="208"/>
      <c r="C456" s="212" t="s">
        <v>336</v>
      </c>
      <c r="D456" s="211">
        <v>100</v>
      </c>
      <c r="E456" s="206"/>
    </row>
    <row r="457">
      <c r="A457" s="209" t="s">
        <v>458</v>
      </c>
      <c r="B457" s="208"/>
      <c r="C457" s="210"/>
      <c r="D457" s="210"/>
      <c r="E457" s="206"/>
    </row>
    <row r="458">
      <c r="A458" s="209"/>
      <c r="B458" s="208"/>
      <c r="C458" s="212" t="s">
        <v>450</v>
      </c>
      <c r="D458" s="211" t="s">
        <v>459</v>
      </c>
      <c r="E458" s="206"/>
    </row>
    <row r="459">
      <c r="A459" s="209"/>
      <c r="B459" s="208"/>
      <c r="C459" s="212" t="s">
        <v>336</v>
      </c>
      <c r="D459" s="211">
        <v>100</v>
      </c>
      <c r="E459" s="206"/>
    </row>
    <row r="460">
      <c r="A460" s="209" t="s">
        <v>460</v>
      </c>
      <c r="B460" s="208"/>
      <c r="C460" s="210"/>
      <c r="D460" s="210"/>
      <c r="E460" s="206"/>
    </row>
    <row r="461">
      <c r="A461" s="209"/>
      <c r="B461" s="208"/>
      <c r="C461" s="212" t="s">
        <v>450</v>
      </c>
      <c r="D461" s="211" t="s">
        <v>461</v>
      </c>
      <c r="E461" s="206"/>
    </row>
    <row r="462">
      <c r="A462" s="213"/>
      <c r="B462" s="208"/>
      <c r="C462" s="212" t="s">
        <v>336</v>
      </c>
      <c r="D462" s="211">
        <v>100</v>
      </c>
    </row>
    <row r="463">
      <c r="A463" s="209" t="s">
        <v>462</v>
      </c>
      <c r="B463" s="208"/>
      <c r="C463" s="210"/>
      <c r="D463" s="210"/>
      <c r="E463" s="206"/>
    </row>
    <row r="464">
      <c r="A464" s="209"/>
      <c r="B464" s="208"/>
      <c r="C464" s="212" t="s">
        <v>450</v>
      </c>
      <c r="D464" s="211" t="s">
        <v>459</v>
      </c>
      <c r="E464" s="206"/>
    </row>
    <row r="465">
      <c r="A465" s="209"/>
      <c r="B465" s="208"/>
      <c r="C465" s="212" t="s">
        <v>336</v>
      </c>
      <c r="D465" s="211">
        <v>100</v>
      </c>
      <c r="E465" s="206"/>
    </row>
    <row r="466">
      <c r="A466" s="209" t="s">
        <v>463</v>
      </c>
      <c r="B466" s="208"/>
      <c r="C466" s="210"/>
      <c r="D466" s="210"/>
      <c r="E466" s="206"/>
    </row>
    <row r="467">
      <c r="A467" s="209"/>
      <c r="B467" s="208"/>
      <c r="C467" s="212" t="s">
        <v>450</v>
      </c>
      <c r="D467" s="211" t="s">
        <v>461</v>
      </c>
      <c r="E467" s="206"/>
    </row>
    <row r="468">
      <c r="A468" s="213"/>
      <c r="B468" s="208"/>
      <c r="C468" s="212" t="s">
        <v>336</v>
      </c>
      <c r="D468" s="211">
        <v>100</v>
      </c>
    </row>
    <row r="469">
      <c r="A469" s="209" t="s">
        <v>464</v>
      </c>
      <c r="B469" s="208"/>
      <c r="C469" s="210"/>
      <c r="D469" s="210"/>
      <c r="E469" s="206"/>
    </row>
    <row r="470">
      <c r="A470" s="209"/>
      <c r="B470" s="208"/>
      <c r="C470" s="212" t="s">
        <v>450</v>
      </c>
      <c r="D470" s="211" t="s">
        <v>459</v>
      </c>
      <c r="E470" s="206"/>
    </row>
    <row r="471">
      <c r="A471" s="209"/>
      <c r="B471" s="208"/>
      <c r="C471" s="212" t="s">
        <v>336</v>
      </c>
      <c r="D471" s="211">
        <v>100</v>
      </c>
      <c r="E471" s="206"/>
    </row>
    <row r="472">
      <c r="A472" s="209" t="s">
        <v>465</v>
      </c>
      <c r="B472" s="208"/>
      <c r="C472" s="210"/>
      <c r="D472" s="210"/>
      <c r="E472" s="206"/>
    </row>
    <row r="473">
      <c r="A473" s="209"/>
      <c r="B473" s="208"/>
      <c r="C473" s="212" t="s">
        <v>450</v>
      </c>
      <c r="D473" s="211" t="s">
        <v>461</v>
      </c>
      <c r="E473" s="206"/>
    </row>
    <row r="474">
      <c r="A474" s="213"/>
      <c r="B474" s="208"/>
      <c r="C474" s="212" t="s">
        <v>336</v>
      </c>
      <c r="D474" s="211">
        <v>100</v>
      </c>
    </row>
    <row r="476">
      <c r="A476" s="209" t="s">
        <v>466</v>
      </c>
      <c r="B476" s="208"/>
      <c r="C476" s="210"/>
      <c r="D476" s="210"/>
    </row>
    <row r="477">
      <c r="A477" s="213"/>
      <c r="B477" s="208"/>
      <c r="C477" s="212" t="s">
        <v>425</v>
      </c>
      <c r="D477" s="211" t="s">
        <v>467</v>
      </c>
    </row>
    <row r="478">
      <c r="A478" s="213"/>
      <c r="B478" s="208"/>
      <c r="C478" s="212" t="s">
        <v>336</v>
      </c>
      <c r="D478" s="211">
        <v>200</v>
      </c>
    </row>
    <row r="479">
      <c r="A479" s="213"/>
      <c r="B479" s="208"/>
      <c r="C479" s="212" t="s">
        <v>425</v>
      </c>
      <c r="D479" s="211" t="s">
        <v>468</v>
      </c>
    </row>
    <row r="480">
      <c r="A480" s="213"/>
      <c r="B480" s="208"/>
      <c r="C480" s="212" t="s">
        <v>336</v>
      </c>
      <c r="D480" s="211">
        <v>200</v>
      </c>
    </row>
    <row r="481">
      <c r="A481" s="213"/>
      <c r="B481" s="208"/>
      <c r="C481" s="212" t="s">
        <v>425</v>
      </c>
      <c r="D481" s="211" t="s">
        <v>469</v>
      </c>
    </row>
    <row r="482">
      <c r="A482" s="213"/>
      <c r="B482" s="208"/>
      <c r="C482" s="212" t="s">
        <v>336</v>
      </c>
      <c r="D482" s="211">
        <v>200</v>
      </c>
    </row>
    <row r="483">
      <c r="A483" s="213"/>
      <c r="B483" s="208"/>
      <c r="C483" s="212" t="s">
        <v>425</v>
      </c>
      <c r="D483" s="211" t="s">
        <v>470</v>
      </c>
    </row>
    <row r="484">
      <c r="A484" s="213"/>
      <c r="B484" s="208"/>
      <c r="C484" s="212" t="s">
        <v>425</v>
      </c>
      <c r="D484" s="211" t="s">
        <v>471</v>
      </c>
    </row>
    <row r="485">
      <c r="A485" s="213"/>
      <c r="B485" s="208"/>
      <c r="C485" s="212" t="s">
        <v>336</v>
      </c>
      <c r="D485" s="211">
        <v>200</v>
      </c>
    </row>
    <row r="486">
      <c r="A486" s="213"/>
      <c r="B486" s="208"/>
      <c r="C486" s="212" t="s">
        <v>425</v>
      </c>
      <c r="D486" s="211" t="s">
        <v>472</v>
      </c>
    </row>
    <row r="487">
      <c r="A487" s="213"/>
      <c r="B487" s="208"/>
      <c r="C487" s="212" t="s">
        <v>336</v>
      </c>
      <c r="D487" s="211">
        <v>200</v>
      </c>
    </row>
    <row r="488">
      <c r="A488" s="213"/>
      <c r="B488" s="208"/>
      <c r="C488" s="212" t="s">
        <v>425</v>
      </c>
      <c r="D488" s="211" t="s">
        <v>473</v>
      </c>
    </row>
    <row r="489">
      <c r="A489" s="213"/>
      <c r="B489" s="208"/>
      <c r="C489" s="212" t="s">
        <v>336</v>
      </c>
      <c r="D489" s="211">
        <v>200</v>
      </c>
    </row>
    <row r="490">
      <c r="A490" s="213"/>
      <c r="B490" s="208"/>
      <c r="C490" s="212" t="s">
        <v>425</v>
      </c>
      <c r="D490" s="211" t="s">
        <v>474</v>
      </c>
    </row>
    <row r="491">
      <c r="A491" s="213"/>
      <c r="B491" s="208"/>
      <c r="C491" s="210"/>
      <c r="D491" s="210"/>
    </row>
    <row r="492">
      <c r="A492" s="209" t="s">
        <v>475</v>
      </c>
      <c r="B492" s="208"/>
      <c r="C492" s="210"/>
      <c r="D492" s="210"/>
    </row>
    <row r="493">
      <c r="A493" s="213"/>
      <c r="B493" s="208"/>
      <c r="C493" s="212" t="s">
        <v>450</v>
      </c>
      <c r="D493" s="211" t="s">
        <v>453</v>
      </c>
    </row>
    <row r="494">
      <c r="A494" s="213"/>
      <c r="B494" s="208"/>
      <c r="C494" s="212" t="s">
        <v>336</v>
      </c>
      <c r="D494" s="211">
        <v>100</v>
      </c>
    </row>
    <row r="495">
      <c r="A495" s="213"/>
      <c r="B495" s="208"/>
      <c r="C495" s="212" t="s">
        <v>450</v>
      </c>
      <c r="D495" s="211" t="s">
        <v>457</v>
      </c>
    </row>
    <row r="496">
      <c r="A496" s="213"/>
      <c r="B496" s="208"/>
      <c r="C496" s="212" t="s">
        <v>336</v>
      </c>
      <c r="D496" s="211">
        <v>100</v>
      </c>
    </row>
    <row r="497">
      <c r="A497" s="213"/>
      <c r="B497" s="208"/>
      <c r="C497" s="212" t="s">
        <v>450</v>
      </c>
      <c r="D497" s="211" t="s">
        <v>461</v>
      </c>
    </row>
    <row r="498">
      <c r="A498" s="213"/>
      <c r="B498" s="208"/>
      <c r="C498" s="212" t="s">
        <v>336</v>
      </c>
      <c r="D498" s="211">
        <v>100</v>
      </c>
    </row>
    <row r="499">
      <c r="A499" s="213"/>
      <c r="B499" s="208"/>
      <c r="C499" s="212" t="s">
        <v>450</v>
      </c>
      <c r="D499" s="211" t="s">
        <v>476</v>
      </c>
    </row>
    <row r="500">
      <c r="A500" s="213"/>
      <c r="B500" s="208"/>
      <c r="C500" s="212" t="s">
        <v>336</v>
      </c>
      <c r="D500" s="211">
        <v>100</v>
      </c>
    </row>
    <row r="501">
      <c r="A501" s="213"/>
      <c r="B501" s="208"/>
      <c r="C501" s="212" t="s">
        <v>450</v>
      </c>
      <c r="D501" s="211" t="s">
        <v>477</v>
      </c>
    </row>
    <row r="502">
      <c r="A502" s="213"/>
      <c r="B502" s="208"/>
      <c r="C502" s="212" t="s">
        <v>336</v>
      </c>
      <c r="D502" s="211">
        <v>100</v>
      </c>
    </row>
    <row r="503">
      <c r="A503" s="213"/>
      <c r="B503" s="208"/>
      <c r="C503" s="212" t="s">
        <v>450</v>
      </c>
      <c r="D503" s="211" t="s">
        <v>478</v>
      </c>
    </row>
    <row r="504">
      <c r="A504" s="213"/>
      <c r="B504" s="208"/>
      <c r="C504" s="212" t="s">
        <v>336</v>
      </c>
      <c r="D504" s="211">
        <v>100</v>
      </c>
    </row>
    <row r="505">
      <c r="A505" s="213"/>
      <c r="B505" s="208"/>
      <c r="C505" s="212" t="s">
        <v>450</v>
      </c>
      <c r="D505" s="211" t="s">
        <v>479</v>
      </c>
    </row>
    <row r="506">
      <c r="A506" s="213"/>
      <c r="B506" s="208"/>
      <c r="C506" s="212" t="s">
        <v>336</v>
      </c>
      <c r="D506" s="211">
        <v>100</v>
      </c>
    </row>
    <row r="507">
      <c r="A507" s="213"/>
      <c r="B507" s="208"/>
      <c r="C507" s="212" t="s">
        <v>450</v>
      </c>
      <c r="D507" s="211" t="s">
        <v>480</v>
      </c>
    </row>
    <row r="508">
      <c r="A508" s="213"/>
      <c r="B508" s="208"/>
      <c r="C508" s="212" t="s">
        <v>336</v>
      </c>
      <c r="D508" s="211">
        <v>100</v>
      </c>
    </row>
    <row r="509">
      <c r="A509" s="213"/>
      <c r="B509" s="208"/>
      <c r="C509" s="212" t="s">
        <v>450</v>
      </c>
      <c r="D509" s="211" t="s">
        <v>481</v>
      </c>
    </row>
    <row r="510">
      <c r="A510" s="213"/>
      <c r="B510" s="208"/>
      <c r="C510" s="212" t="s">
        <v>336</v>
      </c>
      <c r="D510" s="211">
        <v>100</v>
      </c>
    </row>
    <row r="511">
      <c r="A511" s="213"/>
      <c r="B511" s="208"/>
      <c r="C511" s="212" t="s">
        <v>450</v>
      </c>
      <c r="D511" s="211" t="s">
        <v>482</v>
      </c>
    </row>
    <row r="512">
      <c r="A512" s="213"/>
      <c r="B512" s="208"/>
      <c r="C512" s="212" t="s">
        <v>336</v>
      </c>
      <c r="D512" s="211">
        <v>100</v>
      </c>
    </row>
    <row r="513">
      <c r="A513" s="213"/>
      <c r="B513" s="208"/>
      <c r="C513" s="212" t="s">
        <v>450</v>
      </c>
      <c r="D513" s="211" t="s">
        <v>483</v>
      </c>
    </row>
    <row r="514">
      <c r="A514" s="213"/>
      <c r="B514" s="208"/>
      <c r="C514" s="212" t="s">
        <v>336</v>
      </c>
      <c r="D514" s="211">
        <v>100</v>
      </c>
    </row>
    <row r="515">
      <c r="A515" s="213"/>
      <c r="B515" s="208"/>
      <c r="C515" s="212" t="s">
        <v>450</v>
      </c>
      <c r="D515" s="211" t="s">
        <v>484</v>
      </c>
    </row>
    <row r="516">
      <c r="A516" s="213"/>
      <c r="B516" s="208"/>
      <c r="C516" s="212" t="s">
        <v>336</v>
      </c>
      <c r="D516" s="211">
        <v>100</v>
      </c>
    </row>
    <row r="517">
      <c r="A517" s="213"/>
      <c r="B517" s="208"/>
      <c r="C517" s="212" t="s">
        <v>450</v>
      </c>
      <c r="D517" s="211" t="s">
        <v>485</v>
      </c>
    </row>
    <row r="518">
      <c r="A518" s="213"/>
      <c r="B518" s="208"/>
      <c r="C518" s="212" t="s">
        <v>336</v>
      </c>
      <c r="D518" s="211">
        <v>100</v>
      </c>
    </row>
    <row r="519">
      <c r="A519" s="213"/>
      <c r="B519" s="208"/>
      <c r="C519" s="212" t="s">
        <v>450</v>
      </c>
      <c r="D519" s="211" t="s">
        <v>486</v>
      </c>
    </row>
    <row r="520">
      <c r="A520" s="213"/>
      <c r="B520" s="208"/>
      <c r="C520" s="212" t="s">
        <v>336</v>
      </c>
      <c r="D520" s="211">
        <v>100</v>
      </c>
    </row>
    <row r="521">
      <c r="A521" s="213"/>
      <c r="B521" s="208"/>
      <c r="C521" s="212" t="s">
        <v>450</v>
      </c>
      <c r="D521" s="211" t="s">
        <v>487</v>
      </c>
    </row>
    <row r="522">
      <c r="A522" s="213"/>
      <c r="B522" s="208"/>
      <c r="C522" s="212" t="s">
        <v>336</v>
      </c>
      <c r="D522" s="211">
        <v>100</v>
      </c>
    </row>
    <row r="523">
      <c r="A523" s="213"/>
      <c r="B523" s="208"/>
      <c r="C523" s="212" t="s">
        <v>450</v>
      </c>
      <c r="D523" s="211" t="s">
        <v>488</v>
      </c>
    </row>
    <row r="524">
      <c r="A524" s="209" t="s">
        <v>489</v>
      </c>
      <c r="B524" s="208"/>
      <c r="C524" s="210"/>
      <c r="D524" s="210"/>
      <c r="E524" s="206"/>
    </row>
    <row r="525">
      <c r="A525" s="209"/>
      <c r="B525" s="208"/>
      <c r="C525" s="210" t="s">
        <v>490</v>
      </c>
      <c r="D525" s="210" t="s">
        <v>491</v>
      </c>
      <c r="E525" s="206"/>
    </row>
    <row r="526">
      <c r="A526" s="209"/>
      <c r="B526" s="208"/>
      <c r="C526" s="207" t="s">
        <v>355</v>
      </c>
      <c r="D526" s="207" t="s">
        <v>492</v>
      </c>
      <c r="E526" s="206"/>
    </row>
    <row r="527">
      <c r="A527" s="209"/>
      <c r="B527" s="208"/>
      <c r="C527" s="207" t="s">
        <v>357</v>
      </c>
      <c r="D527" s="207" t="s">
        <v>493</v>
      </c>
      <c r="E527" s="206"/>
    </row>
    <row r="528">
      <c r="A528" s="209"/>
      <c r="B528" s="208"/>
      <c r="C528" s="207" t="s">
        <v>355</v>
      </c>
      <c r="D528" s="207" t="s">
        <v>494</v>
      </c>
      <c r="E528" s="206"/>
    </row>
    <row r="529">
      <c r="A529" s="209"/>
      <c r="B529" s="208"/>
      <c r="C529" s="207" t="s">
        <v>357</v>
      </c>
      <c r="D529" s="207" t="s">
        <v>495</v>
      </c>
      <c r="E529" s="206"/>
    </row>
    <row r="530">
      <c r="A530" s="209"/>
      <c r="B530" s="208"/>
      <c r="C530" s="207" t="s">
        <v>355</v>
      </c>
      <c r="D530" s="207" t="s">
        <v>496</v>
      </c>
      <c r="E530" s="206"/>
    </row>
    <row r="531">
      <c r="A531" s="209"/>
      <c r="B531" s="208"/>
      <c r="C531" s="207" t="s">
        <v>357</v>
      </c>
      <c r="D531" s="207" t="s">
        <v>497</v>
      </c>
      <c r="E531" s="206"/>
    </row>
    <row r="532">
      <c r="A532" s="209"/>
      <c r="B532" s="208"/>
      <c r="C532" s="207" t="s">
        <v>355</v>
      </c>
      <c r="D532" s="207" t="s">
        <v>498</v>
      </c>
      <c r="E532" s="206"/>
    </row>
    <row r="533">
      <c r="A533" s="209"/>
      <c r="B533" s="208"/>
      <c r="C533" s="207" t="s">
        <v>357</v>
      </c>
      <c r="D533" s="207" t="s">
        <v>499</v>
      </c>
      <c r="E533" s="206"/>
    </row>
    <row r="534">
      <c r="A534" s="209"/>
      <c r="B534" s="208"/>
      <c r="C534" s="207" t="s">
        <v>355</v>
      </c>
      <c r="D534" s="207" t="s">
        <v>500</v>
      </c>
      <c r="E534" s="206"/>
    </row>
    <row r="535">
      <c r="A535" s="209"/>
      <c r="B535" s="208"/>
      <c r="C535" s="207" t="s">
        <v>357</v>
      </c>
      <c r="D535" s="207" t="s">
        <v>501</v>
      </c>
      <c r="E535" s="206"/>
    </row>
    <row r="536">
      <c r="A536" s="209"/>
      <c r="B536" s="208"/>
      <c r="C536" s="207" t="s">
        <v>355</v>
      </c>
      <c r="D536" s="207" t="s">
        <v>502</v>
      </c>
      <c r="E536" s="206"/>
    </row>
    <row r="537">
      <c r="A537" s="209"/>
      <c r="B537" s="208"/>
      <c r="C537" s="207" t="s">
        <v>357</v>
      </c>
      <c r="D537" s="207" t="s">
        <v>503</v>
      </c>
      <c r="E537" s="206"/>
    </row>
    <row r="538">
      <c r="A538" s="209"/>
      <c r="B538" s="208"/>
      <c r="C538" s="207" t="s">
        <v>355</v>
      </c>
      <c r="D538" s="207" t="s">
        <v>504</v>
      </c>
      <c r="E538" s="206"/>
    </row>
    <row r="539">
      <c r="A539" s="209"/>
      <c r="B539" s="208"/>
      <c r="C539" s="207" t="s">
        <v>357</v>
      </c>
      <c r="D539" s="207" t="s">
        <v>505</v>
      </c>
      <c r="E539" s="206"/>
    </row>
    <row r="540">
      <c r="A540" s="209"/>
      <c r="B540" s="208"/>
      <c r="C540" s="207" t="s">
        <v>110</v>
      </c>
      <c r="D540" s="207" t="s">
        <v>506</v>
      </c>
      <c r="E540" s="206"/>
    </row>
    <row r="541">
      <c r="A541" s="209"/>
      <c r="B541" s="208"/>
      <c r="C541" s="207" t="s">
        <v>110</v>
      </c>
      <c r="D541" s="210" t="s">
        <v>507</v>
      </c>
      <c r="E541" s="206"/>
    </row>
    <row r="542">
      <c r="A542" s="209"/>
      <c r="B542" s="208"/>
      <c r="C542" s="207" t="s">
        <v>349</v>
      </c>
      <c r="D542" s="207" t="s">
        <v>508</v>
      </c>
      <c r="E542" s="206"/>
    </row>
  </sheetData>
  <mergeCells>
    <mergeCell ref="B2:E2"/>
    <mergeCell ref="B35:E35"/>
  </mergeCells>
  <phoneticPr fontId="0" type="noConversion"/>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outlinePr summaryBelow="0"/>
  </sheetPr>
  <dimension ref="A1:Q408"/>
  <sheetViews>
    <sheetView tabSelected="1" topLeftCell="F1" zoomScale="80" zoomScaleNormal="80" workbookViewId="0">
      <pane ySplit="3" topLeftCell="A7" activePane="bottomLeft" state="frozen"/>
      <selection pane="bottomLeft" activeCell="K13" sqref="K13"/>
    </sheetView>
  </sheetViews>
  <sheetFormatPr defaultRowHeight="14.4" outlineLevelRow="2" outlineLevelCol="1"/>
  <cols>
    <col min="1" max="1" width="17.33203125" customWidth="1" style="19"/>
    <col min="2" max="2" width="24.33203125" customWidth="1" style="13"/>
    <col min="3" max="3" hidden="1" width="17" customWidth="1" style="14"/>
    <col min="4" max="4" width="19.33203125" customWidth="1" style="14"/>
    <col min="5" max="5" width="32.6640625" customWidth="1" style="14"/>
    <col min="6" max="6" width="49.44140625" customWidth="1" style="79"/>
    <col min="7" max="7" width="45.6640625" customWidth="1" style="13"/>
    <col min="8" max="8" width="9" customWidth="1" outlineLevel="1" style="14"/>
    <col min="9" max="9" width="23.6640625" customWidth="1" outlineLevel="1" style="14"/>
    <col min="10" max="10" width="26" customWidth="1" outlineLevel="1" style="14"/>
    <col min="11" max="11" width="13" customWidth="1" outlineLevel="1" style="14"/>
    <col min="12" max="12" width="13" customWidth="1" style="13"/>
    <col min="13" max="14" width="13" customWidth="1" style="14"/>
    <col min="15" max="15" width="31.5546875" customWidth="1" style="13"/>
    <col min="21" max="21" width="10" customWidth="1" style="13"/>
  </cols>
  <sheetData>
    <row r="1" ht="23.1" customHeight="1" s="14" customFormat="1">
      <c r="A1" s="90" t="s">
        <v>509</v>
      </c>
      <c r="B1" s="91" t="s">
        <v>510</v>
      </c>
      <c r="C1" s="91"/>
      <c r="D1" s="91"/>
      <c r="E1" s="91"/>
      <c r="F1" s="197"/>
    </row>
    <row r="2" ht="44.1" customHeight="1" s="14" customFormat="1">
      <c r="A2" s="90" t="s">
        <v>511</v>
      </c>
      <c r="B2" s="194" t="s">
        <v>512</v>
      </c>
      <c r="C2" s="92"/>
      <c r="D2" s="92"/>
      <c r="E2" s="92"/>
      <c r="F2" s="197"/>
      <c r="H2" s="374" t="s">
        <v>513</v>
      </c>
      <c r="I2" s="374"/>
      <c r="J2" s="374"/>
      <c r="K2" s="374"/>
    </row>
    <row r="3" ht="27" s="79" customFormat="1">
      <c r="A3" s="77" t="s">
        <v>84</v>
      </c>
      <c r="B3" s="78" t="s">
        <v>514</v>
      </c>
      <c r="C3" s="77" t="s">
        <v>515</v>
      </c>
      <c r="D3" s="77" t="s">
        <v>516</v>
      </c>
      <c r="E3" s="93" t="s">
        <v>517</v>
      </c>
      <c r="F3" s="93" t="s">
        <v>518</v>
      </c>
      <c r="G3" s="77" t="s">
        <v>519</v>
      </c>
      <c r="H3" s="77" t="s">
        <v>520</v>
      </c>
      <c r="I3" s="94" t="s">
        <v>521</v>
      </c>
      <c r="J3" s="94" t="s">
        <v>86</v>
      </c>
      <c r="K3" s="77" t="s">
        <v>522</v>
      </c>
      <c r="L3" s="77" t="s">
        <v>523</v>
      </c>
      <c r="M3" s="141" t="s">
        <v>524</v>
      </c>
      <c r="N3" s="141" t="s">
        <v>525</v>
      </c>
      <c r="O3" s="77" t="s">
        <v>526</v>
      </c>
      <c r="P3" s="95" t="s">
        <v>527</v>
      </c>
      <c r="Q3" s="14">
        <f>COUNTIF(L9:L228,"Pass")</f>
        <v>8</v>
      </c>
    </row>
    <row r="4" s="193" customFormat="1">
      <c r="A4" s="239"/>
      <c r="B4" s="240" t="s">
        <v>528</v>
      </c>
      <c r="C4" s="239"/>
      <c r="D4" s="241"/>
      <c r="E4" s="242"/>
      <c r="F4" s="242"/>
      <c r="G4" s="242"/>
      <c r="H4" s="239"/>
      <c r="I4" s="243"/>
      <c r="J4" s="243"/>
      <c r="K4" s="289" t="s">
        <v>60</v>
      </c>
      <c r="L4" s="290" t="s">
        <v>60</v>
      </c>
      <c r="M4" s="241"/>
      <c r="N4" s="241"/>
      <c r="O4" s="239"/>
    </row>
    <row r="5" outlineLevel="1" s="14" customFormat="1">
      <c r="A5" s="244" t="s">
        <v>529</v>
      </c>
      <c r="B5" s="251" t="s">
        <v>530</v>
      </c>
      <c r="C5" s="244"/>
      <c r="D5" s="245"/>
      <c r="E5" s="246"/>
      <c r="F5" s="247" t="s">
        <v>531</v>
      </c>
      <c r="G5" s="247" t="s">
        <v>531</v>
      </c>
      <c r="H5" s="244"/>
      <c r="I5" s="248"/>
      <c r="J5" s="248"/>
      <c r="K5" s="291" t="s">
        <v>60</v>
      </c>
      <c r="L5" s="292" t="s">
        <v>60</v>
      </c>
      <c r="M5" s="245"/>
      <c r="N5" s="245"/>
      <c r="O5" s="244"/>
    </row>
    <row r="6" outlineLevel="2" s="14" customFormat="1">
      <c r="A6" s="244"/>
      <c r="B6" s="251"/>
      <c r="C6" s="244"/>
      <c r="D6" s="245"/>
      <c r="E6" s="246"/>
      <c r="F6" s="246"/>
      <c r="G6" s="244"/>
      <c r="H6" s="252" t="s">
        <v>91</v>
      </c>
      <c r="I6" s="288" t="s">
        <v>130</v>
      </c>
      <c r="J6" s="249" t="s">
        <v>128</v>
      </c>
      <c r="K6" s="291" t="s">
        <v>60</v>
      </c>
      <c r="L6" s="292" t="s">
        <v>60</v>
      </c>
      <c r="M6" s="245"/>
      <c r="N6" s="245"/>
      <c r="O6" s="244"/>
    </row>
    <row r="7" outlineLevel="2" s="14" customFormat="1">
      <c r="A7" s="244"/>
      <c r="B7" s="251"/>
      <c r="C7" s="244"/>
      <c r="D7" s="245"/>
      <c r="E7" s="246"/>
      <c r="F7" s="246"/>
      <c r="G7" s="244"/>
      <c r="H7" s="252" t="s">
        <v>91</v>
      </c>
      <c r="I7" s="286" t="s">
        <v>130</v>
      </c>
      <c r="J7" s="249" t="s">
        <v>410</v>
      </c>
      <c r="K7" s="291" t="s">
        <v>60</v>
      </c>
      <c r="L7" s="292" t="s">
        <v>60</v>
      </c>
      <c r="M7" s="245"/>
      <c r="N7" s="245"/>
      <c r="O7" s="244"/>
    </row>
    <row r="8" outlineLevel="2" s="14" customFormat="1">
      <c r="A8" s="244"/>
      <c r="B8" s="251"/>
      <c r="C8" s="244"/>
      <c r="D8" s="245"/>
      <c r="E8" s="246"/>
      <c r="F8" s="246"/>
      <c r="G8" s="244"/>
      <c r="H8" s="252"/>
      <c r="I8" s="249"/>
      <c r="J8" s="249"/>
      <c r="K8" s="291" t="s">
        <v>60</v>
      </c>
      <c r="L8" s="292" t="s">
        <v>60</v>
      </c>
      <c r="M8" s="245"/>
      <c r="N8" s="245"/>
      <c r="O8" s="244"/>
    </row>
    <row r="9" s="193" customFormat="1">
      <c r="A9" s="191" t="s">
        <v>529</v>
      </c>
      <c r="B9" s="250" t="s">
        <v>532</v>
      </c>
      <c r="C9" s="192"/>
      <c r="D9" s="192"/>
      <c r="E9" s="192"/>
      <c r="F9" s="198"/>
      <c r="G9" s="192"/>
      <c r="H9" s="253"/>
      <c r="I9" s="254"/>
      <c r="J9" s="254"/>
      <c r="K9" s="293" t="s">
        <v>60</v>
      </c>
      <c r="L9" s="294" t="s">
        <v>60</v>
      </c>
      <c r="M9" s="192"/>
      <c r="N9" s="192"/>
      <c r="O9" s="192"/>
    </row>
    <row r="10" ht="87" customHeight="1" outlineLevel="1">
      <c r="A10" s="18" t="s">
        <v>529</v>
      </c>
      <c r="B10" s="17" t="s">
        <v>533</v>
      </c>
      <c r="C10" s="16"/>
      <c r="D10" s="16" t="s">
        <v>534</v>
      </c>
      <c r="E10" s="195" t="s">
        <v>535</v>
      </c>
      <c r="F10" s="87" t="s">
        <v>536</v>
      </c>
      <c r="G10" s="201" t="s">
        <v>537</v>
      </c>
      <c r="H10" s="17"/>
      <c r="I10" s="255"/>
      <c r="J10" s="255"/>
      <c r="K10" s="295" t="s">
        <v>60</v>
      </c>
      <c r="L10" s="410" t="s">
        <v>538</v>
      </c>
      <c r="M10" s="16"/>
      <c r="N10" s="16"/>
      <c r="O10" s="16"/>
    </row>
    <row r="11" outlineLevel="2" s="197" customFormat="1">
      <c r="A11" s="18"/>
      <c r="B11" s="17"/>
      <c r="C11" s="199"/>
      <c r="D11" s="199"/>
      <c r="E11" s="195"/>
      <c r="F11" s="87"/>
      <c r="G11" s="201"/>
      <c r="H11" s="18" t="s">
        <v>91</v>
      </c>
      <c r="I11" s="256" t="s">
        <v>130</v>
      </c>
      <c r="J11" s="231" t="s">
        <v>403</v>
      </c>
      <c r="K11" s="295" t="s">
        <v>60</v>
      </c>
      <c r="L11" s="410" t="s">
        <v>538</v>
      </c>
      <c r="M11" s="199"/>
      <c r="N11" s="199"/>
      <c r="O11" s="199"/>
    </row>
    <row r="12" outlineLevel="2" s="14" customFormat="1">
      <c r="A12" s="18"/>
      <c r="B12" s="17"/>
      <c r="C12" s="16"/>
      <c r="D12" s="16"/>
      <c r="E12" s="195"/>
      <c r="F12" s="87"/>
      <c r="G12" s="201"/>
      <c r="H12" s="18" t="s">
        <v>91</v>
      </c>
      <c r="I12" s="256" t="s">
        <v>349</v>
      </c>
      <c r="J12" s="255" t="s">
        <v>539</v>
      </c>
      <c r="K12" s="295" t="s">
        <v>60</v>
      </c>
      <c r="L12" s="410" t="s">
        <v>538</v>
      </c>
      <c r="M12" s="16"/>
      <c r="N12" s="16"/>
      <c r="O12" s="16"/>
    </row>
    <row r="13" outlineLevel="2" s="14" customFormat="1">
      <c r="A13" s="18"/>
      <c r="B13" s="17"/>
      <c r="C13" s="16"/>
      <c r="D13" s="16"/>
      <c r="E13" s="195"/>
      <c r="F13" s="87"/>
      <c r="G13" s="201"/>
      <c r="H13" s="18" t="s">
        <v>91</v>
      </c>
      <c r="I13" s="256" t="s">
        <v>349</v>
      </c>
      <c r="J13" s="255" t="s">
        <v>540</v>
      </c>
      <c r="K13" s="295" t="s">
        <v>60</v>
      </c>
      <c r="L13" s="410" t="s">
        <v>538</v>
      </c>
      <c r="M13" s="16"/>
      <c r="N13" s="16"/>
      <c r="O13" s="16"/>
    </row>
    <row r="14" outlineLevel="2" s="14" customFormat="1">
      <c r="A14" s="18"/>
      <c r="B14" s="17"/>
      <c r="C14" s="16"/>
      <c r="D14" s="16"/>
      <c r="E14" s="195"/>
      <c r="F14" s="87"/>
      <c r="G14" s="201"/>
      <c r="H14" s="18"/>
      <c r="I14" s="255" t="s">
        <v>336</v>
      </c>
      <c r="J14" s="255">
        <v>60000</v>
      </c>
      <c r="K14" s="295" t="s">
        <v>60</v>
      </c>
      <c r="L14" s="301" t="s">
        <v>538</v>
      </c>
      <c r="M14" s="16"/>
      <c r="N14" s="16"/>
      <c r="O14" s="16"/>
    </row>
    <row r="15" outlineLevel="2" s="14" customFormat="1">
      <c r="A15" s="18"/>
      <c r="B15" s="17"/>
      <c r="C15" s="16"/>
      <c r="D15" s="16"/>
      <c r="E15" s="195"/>
      <c r="F15" s="87"/>
      <c r="G15" s="201"/>
      <c r="H15" s="18" t="s">
        <v>91</v>
      </c>
      <c r="I15" s="16" t="s">
        <v>541</v>
      </c>
      <c r="J15" s="255" t="s">
        <v>542</v>
      </c>
      <c r="K15" s="295" t="s">
        <v>60</v>
      </c>
      <c r="L15" s="410" t="s">
        <v>538</v>
      </c>
      <c r="M15" s="16"/>
      <c r="N15" s="16"/>
      <c r="O15" s="16"/>
    </row>
    <row r="16" outlineLevel="2" s="197" customFormat="1">
      <c r="A16" s="18"/>
      <c r="B16" s="17"/>
      <c r="C16" s="199"/>
      <c r="D16" s="199"/>
      <c r="E16" s="195"/>
      <c r="F16" s="87"/>
      <c r="G16" s="201"/>
      <c r="H16" s="18" t="s">
        <v>91</v>
      </c>
      <c r="I16" s="199" t="s">
        <v>543</v>
      </c>
      <c r="J16" s="255" t="s">
        <v>544</v>
      </c>
      <c r="K16" s="295"/>
      <c r="L16" s="410" t="s">
        <v>538</v>
      </c>
      <c r="M16" s="199"/>
      <c r="N16" s="199"/>
      <c r="O16" s="199"/>
    </row>
    <row r="17" outlineLevel="2" s="14" customFormat="1">
      <c r="A17" s="18"/>
      <c r="B17" s="17"/>
      <c r="C17" s="16"/>
      <c r="D17" s="16"/>
      <c r="E17" s="195"/>
      <c r="F17" s="87"/>
      <c r="G17" s="201"/>
      <c r="H17" s="18"/>
      <c r="I17" s="255"/>
      <c r="J17" s="255"/>
      <c r="K17" s="295" t="s">
        <v>60</v>
      </c>
      <c r="L17" s="295" t="s">
        <v>60</v>
      </c>
      <c r="M17" s="16"/>
      <c r="N17" s="16"/>
      <c r="O17" s="16"/>
    </row>
    <row r="18" ht="43.8" outlineLevel="1" s="14" customFormat="1">
      <c r="A18" s="18" t="s">
        <v>529</v>
      </c>
      <c r="B18" s="17" t="s">
        <v>545</v>
      </c>
      <c r="C18" s="16"/>
      <c r="D18" s="16"/>
      <c r="E18" s="16"/>
      <c r="F18" s="195" t="s">
        <v>546</v>
      </c>
      <c r="G18" s="201" t="s">
        <v>547</v>
      </c>
      <c r="H18" s="18"/>
      <c r="I18" s="255"/>
      <c r="J18" s="255"/>
      <c r="K18" s="295" t="s">
        <v>60</v>
      </c>
      <c r="L18" s="296" t="s">
        <v>60</v>
      </c>
      <c r="M18" s="16"/>
      <c r="N18" s="16"/>
      <c r="O18" s="16"/>
    </row>
    <row r="19" outlineLevel="2" s="14" customFormat="1">
      <c r="A19" s="18"/>
      <c r="B19" s="17"/>
      <c r="C19" s="16"/>
      <c r="D19" s="16"/>
      <c r="E19" s="195"/>
      <c r="F19" s="87"/>
      <c r="G19" s="201"/>
      <c r="H19" s="18" t="s">
        <v>91</v>
      </c>
      <c r="I19" s="256" t="s">
        <v>349</v>
      </c>
      <c r="J19" s="255" t="s">
        <v>548</v>
      </c>
      <c r="K19" s="295" t="s">
        <v>60</v>
      </c>
      <c r="L19" s="410" t="s">
        <v>538</v>
      </c>
      <c r="M19" s="16"/>
      <c r="N19" s="16"/>
      <c r="O19" s="16"/>
    </row>
    <row r="20" outlineLevel="2" s="14" customFormat="1">
      <c r="A20" s="18"/>
      <c r="B20" s="17"/>
      <c r="C20" s="16"/>
      <c r="D20" s="16"/>
      <c r="E20" s="195"/>
      <c r="F20" s="87"/>
      <c r="G20" s="201"/>
      <c r="H20" s="18" t="s">
        <v>91</v>
      </c>
      <c r="I20" s="255" t="s">
        <v>336</v>
      </c>
      <c r="J20" s="255">
        <v>60000</v>
      </c>
      <c r="K20" s="295" t="s">
        <v>60</v>
      </c>
      <c r="L20" s="296" t="s">
        <v>60</v>
      </c>
      <c r="M20" s="16"/>
      <c r="N20" s="16"/>
      <c r="O20" s="16"/>
    </row>
    <row r="21" outlineLevel="2" s="197" customFormat="1">
      <c r="A21" s="18"/>
      <c r="B21" s="17"/>
      <c r="C21" s="199"/>
      <c r="D21" s="199"/>
      <c r="E21" s="195"/>
      <c r="F21" s="87"/>
      <c r="G21" s="201"/>
      <c r="H21" s="18" t="s">
        <v>91</v>
      </c>
      <c r="I21" s="256" t="s">
        <v>349</v>
      </c>
      <c r="J21" s="255" t="s">
        <v>540</v>
      </c>
      <c r="K21" s="295" t="s">
        <v>60</v>
      </c>
      <c r="L21" s="296" t="s">
        <v>60</v>
      </c>
      <c r="M21" s="199"/>
      <c r="N21" s="199"/>
      <c r="O21" s="199"/>
    </row>
    <row r="22" outlineLevel="2" s="14" customFormat="1">
      <c r="A22" s="18"/>
      <c r="B22" s="17"/>
      <c r="C22" s="16"/>
      <c r="D22" s="16"/>
      <c r="E22" s="195"/>
      <c r="F22" s="87"/>
      <c r="G22" s="201"/>
      <c r="H22" s="18" t="s">
        <v>91</v>
      </c>
      <c r="I22" s="16" t="s">
        <v>541</v>
      </c>
      <c r="J22" s="255" t="s">
        <v>549</v>
      </c>
      <c r="K22" s="295" t="s">
        <v>60</v>
      </c>
      <c r="L22" s="296" t="s">
        <v>60</v>
      </c>
      <c r="M22" s="16"/>
      <c r="N22" s="16"/>
      <c r="O22" s="16"/>
    </row>
    <row r="23" outlineLevel="2" s="14" customFormat="1">
      <c r="A23" s="18"/>
      <c r="B23" s="17"/>
      <c r="C23" s="16"/>
      <c r="D23" s="16"/>
      <c r="E23" s="195"/>
      <c r="F23" s="87"/>
      <c r="G23" s="201"/>
      <c r="H23" s="18"/>
      <c r="I23" s="255"/>
      <c r="J23" s="255"/>
      <c r="K23" s="295" t="s">
        <v>60</v>
      </c>
      <c r="L23" s="295" t="s">
        <v>60</v>
      </c>
      <c r="M23" s="16"/>
      <c r="N23" s="16"/>
      <c r="O23" s="16"/>
    </row>
    <row r="24" ht="29.4" outlineLevel="1" s="14" customFormat="1">
      <c r="A24" s="18" t="s">
        <v>529</v>
      </c>
      <c r="B24" s="17" t="s">
        <v>550</v>
      </c>
      <c r="C24" s="16"/>
      <c r="D24" s="16"/>
      <c r="E24" s="16"/>
      <c r="F24" s="195" t="s">
        <v>551</v>
      </c>
      <c r="G24" s="201" t="s">
        <v>552</v>
      </c>
      <c r="H24" s="18"/>
      <c r="I24" s="255"/>
      <c r="J24" s="255"/>
      <c r="K24" s="295" t="s">
        <v>60</v>
      </c>
      <c r="L24" s="296" t="s">
        <v>60</v>
      </c>
      <c r="M24" s="16"/>
      <c r="N24" s="16"/>
      <c r="O24" s="16"/>
    </row>
    <row r="25" outlineLevel="2" s="14" customFormat="1">
      <c r="A25" s="18"/>
      <c r="B25" s="17"/>
      <c r="C25" s="16"/>
      <c r="D25" s="16"/>
      <c r="E25" s="195"/>
      <c r="F25" s="87"/>
      <c r="G25" s="201"/>
      <c r="H25" s="18" t="s">
        <v>91</v>
      </c>
      <c r="I25" s="256" t="s">
        <v>349</v>
      </c>
      <c r="J25" s="255" t="s">
        <v>553</v>
      </c>
      <c r="K25" s="295" t="s">
        <v>60</v>
      </c>
      <c r="L25" s="297" t="s">
        <v>60</v>
      </c>
      <c r="M25" s="16"/>
      <c r="N25" s="16"/>
      <c r="O25" s="16"/>
    </row>
    <row r="26" outlineLevel="2" s="14" customFormat="1">
      <c r="A26" s="18"/>
      <c r="B26" s="17"/>
      <c r="C26" s="16"/>
      <c r="D26" s="16"/>
      <c r="E26" s="195"/>
      <c r="F26" s="87"/>
      <c r="G26" s="201"/>
      <c r="H26" s="18" t="s">
        <v>91</v>
      </c>
      <c r="I26" s="255" t="s">
        <v>336</v>
      </c>
      <c r="J26" s="255">
        <v>60000</v>
      </c>
      <c r="K26" s="295" t="s">
        <v>60</v>
      </c>
      <c r="L26" s="296" t="s">
        <v>60</v>
      </c>
      <c r="M26" s="16"/>
      <c r="N26" s="16"/>
      <c r="O26" s="16"/>
    </row>
    <row r="27" outlineLevel="2" s="197" customFormat="1">
      <c r="A27" s="18"/>
      <c r="B27" s="17"/>
      <c r="C27" s="199"/>
      <c r="D27" s="199"/>
      <c r="E27" s="195"/>
      <c r="F27" s="87"/>
      <c r="G27" s="201"/>
      <c r="H27" s="18" t="s">
        <v>91</v>
      </c>
      <c r="I27" s="256" t="s">
        <v>349</v>
      </c>
      <c r="J27" s="255" t="s">
        <v>540</v>
      </c>
      <c r="K27" s="295" t="s">
        <v>60</v>
      </c>
      <c r="L27" s="296" t="s">
        <v>60</v>
      </c>
      <c r="M27" s="199"/>
      <c r="N27" s="199"/>
      <c r="O27" s="199"/>
    </row>
    <row r="28" outlineLevel="2" s="14" customFormat="1">
      <c r="A28" s="18"/>
      <c r="B28" s="17"/>
      <c r="C28" s="16"/>
      <c r="D28" s="16"/>
      <c r="E28" s="195"/>
      <c r="F28" s="87"/>
      <c r="G28" s="201"/>
      <c r="H28" s="18" t="s">
        <v>91</v>
      </c>
      <c r="I28" s="16" t="s">
        <v>541</v>
      </c>
      <c r="J28" s="255" t="s">
        <v>554</v>
      </c>
      <c r="K28" s="295" t="s">
        <v>60</v>
      </c>
      <c r="L28" s="296" t="s">
        <v>60</v>
      </c>
      <c r="M28" s="16"/>
      <c r="N28" s="16"/>
      <c r="O28" s="16"/>
    </row>
    <row r="29" outlineLevel="2" s="14" customFormat="1">
      <c r="A29" s="18"/>
      <c r="B29" s="17"/>
      <c r="C29" s="16"/>
      <c r="D29" s="16"/>
      <c r="E29" s="195"/>
      <c r="F29" s="87"/>
      <c r="G29" s="201"/>
      <c r="H29" s="18"/>
      <c r="I29" s="255"/>
      <c r="J29" s="255"/>
      <c r="K29" s="295" t="s">
        <v>60</v>
      </c>
      <c r="L29" s="295" t="s">
        <v>60</v>
      </c>
      <c r="M29" s="16"/>
      <c r="N29" s="16"/>
      <c r="O29" s="16"/>
    </row>
    <row r="30" ht="29.4" outlineLevel="1" s="14" customFormat="1">
      <c r="A30" s="18" t="s">
        <v>529</v>
      </c>
      <c r="B30" s="17" t="s">
        <v>555</v>
      </c>
      <c r="C30" s="16"/>
      <c r="D30" s="16"/>
      <c r="E30" s="16"/>
      <c r="F30" s="195" t="s">
        <v>556</v>
      </c>
      <c r="G30" s="201" t="s">
        <v>557</v>
      </c>
      <c r="H30" s="17"/>
      <c r="I30" s="255"/>
      <c r="J30" s="255"/>
      <c r="K30" s="295" t="s">
        <v>60</v>
      </c>
      <c r="L30" s="296" t="s">
        <v>60</v>
      </c>
      <c r="M30" s="16"/>
      <c r="N30" s="16"/>
      <c r="O30" s="16"/>
    </row>
    <row r="31" outlineLevel="2" s="14" customFormat="1">
      <c r="A31" s="18"/>
      <c r="B31" s="17"/>
      <c r="C31" s="16"/>
      <c r="D31" s="16"/>
      <c r="E31" s="195"/>
      <c r="F31" s="87"/>
      <c r="G31" s="201"/>
      <c r="H31" s="18" t="s">
        <v>91</v>
      </c>
      <c r="I31" s="256" t="s">
        <v>349</v>
      </c>
      <c r="J31" s="255" t="s">
        <v>558</v>
      </c>
      <c r="K31" s="295" t="s">
        <v>60</v>
      </c>
      <c r="L31" s="296" t="s">
        <v>60</v>
      </c>
      <c r="M31" s="16"/>
      <c r="N31" s="16"/>
      <c r="O31" s="16"/>
    </row>
    <row r="32" outlineLevel="2" s="14" customFormat="1">
      <c r="A32" s="18"/>
      <c r="B32" s="17"/>
      <c r="C32" s="16"/>
      <c r="D32" s="16"/>
      <c r="E32" s="195"/>
      <c r="F32" s="87"/>
      <c r="G32" s="201"/>
      <c r="H32" s="18" t="s">
        <v>91</v>
      </c>
      <c r="I32" s="255" t="s">
        <v>336</v>
      </c>
      <c r="J32" s="255">
        <v>60000</v>
      </c>
      <c r="K32" s="295" t="s">
        <v>60</v>
      </c>
      <c r="L32" s="296" t="s">
        <v>60</v>
      </c>
      <c r="M32" s="16"/>
      <c r="N32" s="16"/>
      <c r="O32" s="16"/>
    </row>
    <row r="33" outlineLevel="2" s="197" customFormat="1">
      <c r="A33" s="18"/>
      <c r="B33" s="17"/>
      <c r="C33" s="199"/>
      <c r="D33" s="199"/>
      <c r="E33" s="195"/>
      <c r="F33" s="87"/>
      <c r="G33" s="201"/>
      <c r="H33" s="18" t="s">
        <v>91</v>
      </c>
      <c r="I33" s="256" t="s">
        <v>349</v>
      </c>
      <c r="J33" s="255" t="s">
        <v>540</v>
      </c>
      <c r="K33" s="295" t="s">
        <v>60</v>
      </c>
      <c r="L33" s="296" t="s">
        <v>60</v>
      </c>
      <c r="M33" s="199"/>
      <c r="N33" s="199"/>
      <c r="O33" s="199"/>
    </row>
    <row r="34" outlineLevel="2" s="14" customFormat="1">
      <c r="A34" s="18"/>
      <c r="B34" s="17"/>
      <c r="C34" s="16"/>
      <c r="D34" s="16"/>
      <c r="E34" s="195"/>
      <c r="F34" s="87"/>
      <c r="G34" s="201"/>
      <c r="H34" s="18" t="s">
        <v>91</v>
      </c>
      <c r="I34" s="16" t="s">
        <v>541</v>
      </c>
      <c r="J34" s="255" t="s">
        <v>559</v>
      </c>
      <c r="K34" s="295" t="s">
        <v>60</v>
      </c>
      <c r="L34" s="296" t="s">
        <v>60</v>
      </c>
      <c r="M34" s="16"/>
      <c r="N34" s="16"/>
      <c r="O34" s="16"/>
    </row>
    <row r="35" outlineLevel="2" s="14" customFormat="1">
      <c r="A35" s="18"/>
      <c r="B35" s="17"/>
      <c r="C35" s="16"/>
      <c r="D35" s="16"/>
      <c r="E35" s="195"/>
      <c r="F35" s="87"/>
      <c r="G35" s="201"/>
      <c r="H35" s="18"/>
      <c r="I35" s="255"/>
      <c r="J35" s="255"/>
      <c r="K35" s="295" t="s">
        <v>60</v>
      </c>
      <c r="L35" s="295" t="s">
        <v>60</v>
      </c>
      <c r="M35" s="16"/>
      <c r="N35" s="16"/>
      <c r="O35" s="16"/>
    </row>
    <row r="36" ht="29.4" outlineLevel="1" s="14" customFormat="1">
      <c r="A36" s="18" t="s">
        <v>529</v>
      </c>
      <c r="B36" s="17" t="s">
        <v>560</v>
      </c>
      <c r="C36" s="16"/>
      <c r="D36" s="16"/>
      <c r="E36" s="16"/>
      <c r="F36" s="195" t="s">
        <v>561</v>
      </c>
      <c r="G36" s="201" t="s">
        <v>562</v>
      </c>
      <c r="H36" s="17"/>
      <c r="I36" s="255"/>
      <c r="J36" s="255"/>
      <c r="K36" s="295" t="s">
        <v>60</v>
      </c>
      <c r="L36" s="296" t="s">
        <v>60</v>
      </c>
      <c r="M36" s="16"/>
      <c r="N36" s="16"/>
      <c r="O36" s="16"/>
    </row>
    <row r="37" outlineLevel="2" s="14" customFormat="1">
      <c r="A37" s="18"/>
      <c r="B37" s="17"/>
      <c r="C37" s="16"/>
      <c r="D37" s="16"/>
      <c r="E37" s="195"/>
      <c r="F37" s="87"/>
      <c r="G37" s="201"/>
      <c r="H37" s="18" t="s">
        <v>91</v>
      </c>
      <c r="I37" s="256" t="s">
        <v>349</v>
      </c>
      <c r="J37" s="255" t="s">
        <v>563</v>
      </c>
      <c r="K37" s="295" t="s">
        <v>60</v>
      </c>
      <c r="L37" s="296" t="s">
        <v>60</v>
      </c>
      <c r="M37" s="16"/>
      <c r="N37" s="16"/>
      <c r="O37" s="16"/>
    </row>
    <row r="38" outlineLevel="2" s="14" customFormat="1">
      <c r="A38" s="18"/>
      <c r="B38" s="17"/>
      <c r="C38" s="16"/>
      <c r="D38" s="16"/>
      <c r="E38" s="195"/>
      <c r="F38" s="87"/>
      <c r="G38" s="201"/>
      <c r="H38" s="18" t="s">
        <v>91</v>
      </c>
      <c r="I38" s="255" t="s">
        <v>336</v>
      </c>
      <c r="J38" s="255">
        <v>60000</v>
      </c>
      <c r="K38" s="295" t="s">
        <v>60</v>
      </c>
      <c r="L38" s="296" t="s">
        <v>60</v>
      </c>
      <c r="M38" s="16"/>
      <c r="N38" s="16"/>
      <c r="O38" s="16"/>
    </row>
    <row r="39" outlineLevel="2" s="197" customFormat="1">
      <c r="A39" s="18"/>
      <c r="B39" s="17"/>
      <c r="C39" s="199"/>
      <c r="D39" s="199"/>
      <c r="E39" s="195"/>
      <c r="F39" s="87"/>
      <c r="G39" s="201"/>
      <c r="H39" s="18" t="s">
        <v>91</v>
      </c>
      <c r="I39" s="256" t="s">
        <v>349</v>
      </c>
      <c r="J39" s="255" t="s">
        <v>540</v>
      </c>
      <c r="K39" s="295" t="s">
        <v>60</v>
      </c>
      <c r="L39" s="296" t="s">
        <v>60</v>
      </c>
      <c r="M39" s="199"/>
      <c r="N39" s="199"/>
      <c r="O39" s="199"/>
    </row>
    <row r="40" outlineLevel="2" s="14" customFormat="1">
      <c r="A40" s="18"/>
      <c r="B40" s="17"/>
      <c r="C40" s="16"/>
      <c r="D40" s="16"/>
      <c r="E40" s="195"/>
      <c r="F40" s="87"/>
      <c r="G40" s="201"/>
      <c r="H40" s="18" t="s">
        <v>91</v>
      </c>
      <c r="I40" s="16" t="s">
        <v>541</v>
      </c>
      <c r="J40" s="255" t="s">
        <v>564</v>
      </c>
      <c r="K40" s="295" t="s">
        <v>60</v>
      </c>
      <c r="L40" s="296" t="s">
        <v>60</v>
      </c>
      <c r="M40" s="16"/>
      <c r="N40" s="16"/>
      <c r="O40" s="16"/>
    </row>
    <row r="41" outlineLevel="2" s="14" customFormat="1">
      <c r="A41" s="18"/>
      <c r="B41" s="17"/>
      <c r="C41" s="16"/>
      <c r="D41" s="16"/>
      <c r="E41" s="195"/>
      <c r="F41" s="87"/>
      <c r="G41" s="201"/>
      <c r="H41" s="18"/>
      <c r="I41" s="255"/>
      <c r="J41" s="255"/>
      <c r="K41" s="295" t="s">
        <v>60</v>
      </c>
      <c r="L41" s="295" t="s">
        <v>60</v>
      </c>
      <c r="M41" s="16"/>
      <c r="N41" s="16"/>
      <c r="O41" s="16"/>
    </row>
    <row r="42" ht="29.4" outlineLevel="1" s="14" customFormat="1">
      <c r="A42" s="18" t="s">
        <v>529</v>
      </c>
      <c r="B42" s="17" t="s">
        <v>565</v>
      </c>
      <c r="C42" s="16"/>
      <c r="D42" s="16"/>
      <c r="E42" s="16"/>
      <c r="F42" s="195" t="s">
        <v>566</v>
      </c>
      <c r="G42" s="201" t="s">
        <v>567</v>
      </c>
      <c r="H42" s="17"/>
      <c r="I42" s="255"/>
      <c r="J42" s="255"/>
      <c r="K42" s="295" t="s">
        <v>60</v>
      </c>
      <c r="L42" s="296" t="s">
        <v>60</v>
      </c>
      <c r="M42" s="16"/>
      <c r="N42" s="16"/>
      <c r="O42" s="16"/>
    </row>
    <row r="43" outlineLevel="2" s="14" customFormat="1">
      <c r="A43" s="18"/>
      <c r="B43" s="17"/>
      <c r="C43" s="16"/>
      <c r="D43" s="16"/>
      <c r="E43" s="195"/>
      <c r="F43" s="87"/>
      <c r="G43" s="201"/>
      <c r="H43" s="18" t="s">
        <v>91</v>
      </c>
      <c r="I43" s="256" t="s">
        <v>349</v>
      </c>
      <c r="J43" s="255" t="s">
        <v>568</v>
      </c>
      <c r="K43" s="295" t="s">
        <v>60</v>
      </c>
      <c r="L43" s="296" t="s">
        <v>60</v>
      </c>
      <c r="M43" s="16"/>
      <c r="N43" s="16"/>
      <c r="O43" s="16"/>
    </row>
    <row r="44" outlineLevel="2" s="14" customFormat="1">
      <c r="A44" s="18"/>
      <c r="B44" s="17"/>
      <c r="C44" s="16"/>
      <c r="D44" s="16"/>
      <c r="E44" s="195"/>
      <c r="F44" s="87"/>
      <c r="G44" s="201"/>
      <c r="H44" s="18" t="s">
        <v>91</v>
      </c>
      <c r="I44" s="255" t="s">
        <v>336</v>
      </c>
      <c r="J44" s="255">
        <v>60000</v>
      </c>
      <c r="K44" s="295" t="s">
        <v>60</v>
      </c>
      <c r="L44" s="296" t="s">
        <v>60</v>
      </c>
      <c r="M44" s="16"/>
      <c r="N44" s="16"/>
      <c r="O44" s="16"/>
    </row>
    <row r="45" outlineLevel="2" s="197" customFormat="1">
      <c r="A45" s="18"/>
      <c r="B45" s="17"/>
      <c r="C45" s="199"/>
      <c r="D45" s="199"/>
      <c r="E45" s="195"/>
      <c r="F45" s="87"/>
      <c r="G45" s="201"/>
      <c r="H45" s="18" t="s">
        <v>91</v>
      </c>
      <c r="I45" s="256" t="s">
        <v>349</v>
      </c>
      <c r="J45" s="255" t="s">
        <v>540</v>
      </c>
      <c r="K45" s="295" t="s">
        <v>60</v>
      </c>
      <c r="L45" s="296" t="s">
        <v>60</v>
      </c>
      <c r="M45" s="199"/>
      <c r="N45" s="199"/>
      <c r="O45" s="199"/>
    </row>
    <row r="46" outlineLevel="2" s="14" customFormat="1">
      <c r="A46" s="18"/>
      <c r="B46" s="17"/>
      <c r="C46" s="16"/>
      <c r="D46" s="16"/>
      <c r="E46" s="195"/>
      <c r="F46" s="87"/>
      <c r="G46" s="201"/>
      <c r="H46" s="18" t="s">
        <v>91</v>
      </c>
      <c r="I46" s="16" t="s">
        <v>541</v>
      </c>
      <c r="J46" s="255" t="s">
        <v>569</v>
      </c>
      <c r="K46" s="295" t="s">
        <v>60</v>
      </c>
      <c r="L46" s="296" t="s">
        <v>60</v>
      </c>
      <c r="M46" s="16"/>
      <c r="N46" s="16"/>
      <c r="O46" s="16"/>
    </row>
    <row r="47" outlineLevel="2" s="14" customFormat="1">
      <c r="A47" s="18"/>
      <c r="B47" s="17"/>
      <c r="C47" s="16"/>
      <c r="D47" s="16"/>
      <c r="E47" s="195"/>
      <c r="F47" s="87"/>
      <c r="G47" s="201"/>
      <c r="H47" s="18"/>
      <c r="I47" s="255"/>
      <c r="J47" s="255"/>
      <c r="K47" s="295" t="s">
        <v>60</v>
      </c>
      <c r="L47" s="295" t="s">
        <v>60</v>
      </c>
      <c r="M47" s="16"/>
      <c r="N47" s="16"/>
      <c r="O47" s="16"/>
    </row>
    <row r="48" ht="29.4" outlineLevel="1" s="14" customFormat="1">
      <c r="A48" s="18" t="s">
        <v>529</v>
      </c>
      <c r="B48" s="17" t="s">
        <v>570</v>
      </c>
      <c r="C48" s="16"/>
      <c r="D48" s="16"/>
      <c r="E48" s="16"/>
      <c r="F48" s="195" t="s">
        <v>571</v>
      </c>
      <c r="G48" s="201" t="s">
        <v>572</v>
      </c>
      <c r="H48" s="17"/>
      <c r="I48" s="255"/>
      <c r="J48" s="255"/>
      <c r="K48" s="295" t="s">
        <v>60</v>
      </c>
      <c r="L48" s="296" t="s">
        <v>60</v>
      </c>
      <c r="M48" s="16"/>
      <c r="N48" s="16"/>
      <c r="O48" s="16"/>
    </row>
    <row r="49" outlineLevel="2" s="14" customFormat="1">
      <c r="A49" s="18"/>
      <c r="B49" s="17"/>
      <c r="C49" s="16"/>
      <c r="D49" s="16"/>
      <c r="E49" s="195"/>
      <c r="F49" s="87"/>
      <c r="G49" s="201"/>
      <c r="H49" s="18" t="s">
        <v>91</v>
      </c>
      <c r="I49" s="256" t="s">
        <v>349</v>
      </c>
      <c r="J49" s="255" t="s">
        <v>573</v>
      </c>
      <c r="K49" s="295" t="s">
        <v>60</v>
      </c>
      <c r="L49" s="296" t="s">
        <v>60</v>
      </c>
      <c r="M49" s="16"/>
      <c r="N49" s="16"/>
      <c r="O49" s="16"/>
    </row>
    <row r="50" outlineLevel="2" s="14" customFormat="1">
      <c r="A50" s="18"/>
      <c r="B50" s="17"/>
      <c r="C50" s="16"/>
      <c r="D50" s="16"/>
      <c r="E50" s="195"/>
      <c r="F50" s="87"/>
      <c r="G50" s="201"/>
      <c r="H50" s="18" t="s">
        <v>91</v>
      </c>
      <c r="I50" s="255" t="s">
        <v>336</v>
      </c>
      <c r="J50" s="255">
        <v>60000</v>
      </c>
      <c r="K50" s="295" t="s">
        <v>60</v>
      </c>
      <c r="L50" s="296" t="s">
        <v>60</v>
      </c>
      <c r="M50" s="16"/>
      <c r="N50" s="16"/>
      <c r="O50" s="16"/>
    </row>
    <row r="51" outlineLevel="2" s="197" customFormat="1">
      <c r="A51" s="18"/>
      <c r="B51" s="17"/>
      <c r="C51" s="199"/>
      <c r="D51" s="199"/>
      <c r="E51" s="195"/>
      <c r="F51" s="87"/>
      <c r="G51" s="201"/>
      <c r="H51" s="18" t="s">
        <v>91</v>
      </c>
      <c r="I51" s="256" t="s">
        <v>349</v>
      </c>
      <c r="J51" s="255" t="s">
        <v>540</v>
      </c>
      <c r="K51" s="295" t="s">
        <v>60</v>
      </c>
      <c r="L51" s="296" t="s">
        <v>60</v>
      </c>
      <c r="M51" s="199"/>
      <c r="N51" s="199"/>
      <c r="O51" s="199"/>
    </row>
    <row r="52" outlineLevel="2" s="14" customFormat="1">
      <c r="A52" s="18"/>
      <c r="B52" s="17"/>
      <c r="C52" s="16"/>
      <c r="D52" s="16"/>
      <c r="E52" s="195"/>
      <c r="F52" s="87"/>
      <c r="G52" s="201"/>
      <c r="H52" s="18" t="s">
        <v>91</v>
      </c>
      <c r="I52" s="16" t="s">
        <v>541</v>
      </c>
      <c r="J52" s="255" t="s">
        <v>574</v>
      </c>
      <c r="K52" s="295" t="s">
        <v>60</v>
      </c>
      <c r="L52" s="296" t="s">
        <v>60</v>
      </c>
      <c r="M52" s="16"/>
      <c r="N52" s="16"/>
      <c r="O52" s="16"/>
    </row>
    <row r="53" outlineLevel="2" s="14" customFormat="1">
      <c r="A53" s="18"/>
      <c r="B53" s="17"/>
      <c r="C53" s="16"/>
      <c r="D53" s="16"/>
      <c r="E53" s="195"/>
      <c r="F53" s="87"/>
      <c r="G53" s="201"/>
      <c r="H53" s="18"/>
      <c r="I53" s="255"/>
      <c r="J53" s="255"/>
      <c r="K53" s="295" t="s">
        <v>60</v>
      </c>
      <c r="L53" s="295" t="s">
        <v>60</v>
      </c>
      <c r="M53" s="16"/>
      <c r="N53" s="16"/>
      <c r="O53" s="16"/>
    </row>
    <row r="54" ht="29.4" outlineLevel="1" s="14" customFormat="1">
      <c r="A54" s="18" t="s">
        <v>529</v>
      </c>
      <c r="B54" s="17" t="s">
        <v>575</v>
      </c>
      <c r="C54" s="16"/>
      <c r="D54" s="16"/>
      <c r="E54" s="16"/>
      <c r="F54" s="195" t="s">
        <v>576</v>
      </c>
      <c r="G54" s="201" t="s">
        <v>572</v>
      </c>
      <c r="H54" s="17"/>
      <c r="I54" s="255"/>
      <c r="J54" s="255"/>
      <c r="K54" s="295" t="s">
        <v>60</v>
      </c>
      <c r="L54" s="296" t="s">
        <v>60</v>
      </c>
      <c r="M54" s="16"/>
      <c r="N54" s="16"/>
      <c r="O54" s="16"/>
    </row>
    <row r="55" outlineLevel="2" s="14" customFormat="1">
      <c r="A55" s="18"/>
      <c r="B55" s="17"/>
      <c r="C55" s="16"/>
      <c r="D55" s="16"/>
      <c r="E55" s="195"/>
      <c r="F55" s="87"/>
      <c r="G55" s="201"/>
      <c r="H55" s="18" t="s">
        <v>91</v>
      </c>
      <c r="I55" s="256" t="s">
        <v>349</v>
      </c>
      <c r="J55" s="255" t="s">
        <v>577</v>
      </c>
      <c r="K55" s="295" t="s">
        <v>60</v>
      </c>
      <c r="L55" s="296" t="s">
        <v>60</v>
      </c>
      <c r="M55" s="16"/>
      <c r="N55" s="16"/>
      <c r="O55" s="16"/>
    </row>
    <row r="56" outlineLevel="2" s="14" customFormat="1">
      <c r="A56" s="18"/>
      <c r="B56" s="17"/>
      <c r="C56" s="16"/>
      <c r="D56" s="16"/>
      <c r="E56" s="195"/>
      <c r="F56" s="87"/>
      <c r="G56" s="201"/>
      <c r="H56" s="18" t="s">
        <v>91</v>
      </c>
      <c r="I56" s="255" t="s">
        <v>336</v>
      </c>
      <c r="J56" s="255">
        <v>60000</v>
      </c>
      <c r="K56" s="295" t="s">
        <v>60</v>
      </c>
      <c r="L56" s="296" t="s">
        <v>60</v>
      </c>
      <c r="M56" s="16"/>
      <c r="N56" s="16"/>
      <c r="O56" s="16"/>
    </row>
    <row r="57" outlineLevel="2" s="197" customFormat="1">
      <c r="A57" s="18"/>
      <c r="B57" s="17"/>
      <c r="C57" s="199"/>
      <c r="D57" s="199"/>
      <c r="E57" s="195"/>
      <c r="F57" s="87"/>
      <c r="G57" s="201"/>
      <c r="H57" s="18" t="s">
        <v>91</v>
      </c>
      <c r="I57" s="256" t="s">
        <v>349</v>
      </c>
      <c r="J57" s="255" t="s">
        <v>540</v>
      </c>
      <c r="K57" s="295" t="s">
        <v>60</v>
      </c>
      <c r="L57" s="296" t="s">
        <v>60</v>
      </c>
      <c r="M57" s="199"/>
      <c r="N57" s="199"/>
      <c r="O57" s="199"/>
    </row>
    <row r="58" outlineLevel="2" s="14" customFormat="1">
      <c r="A58" s="18"/>
      <c r="B58" s="17"/>
      <c r="C58" s="16"/>
      <c r="D58" s="16"/>
      <c r="E58" s="195"/>
      <c r="F58" s="87"/>
      <c r="G58" s="201"/>
      <c r="H58" s="18" t="s">
        <v>91</v>
      </c>
      <c r="I58" s="16" t="s">
        <v>541</v>
      </c>
      <c r="J58" s="255" t="s">
        <v>574</v>
      </c>
      <c r="K58" s="295" t="s">
        <v>60</v>
      </c>
      <c r="L58" s="296" t="s">
        <v>60</v>
      </c>
      <c r="M58" s="16"/>
      <c r="N58" s="16"/>
      <c r="O58" s="16"/>
    </row>
    <row r="59" outlineLevel="2" s="14" customFormat="1">
      <c r="A59" s="18"/>
      <c r="B59" s="17"/>
      <c r="C59" s="16"/>
      <c r="D59" s="16"/>
      <c r="E59" s="195"/>
      <c r="F59" s="87"/>
      <c r="G59" s="201"/>
      <c r="H59" s="18"/>
      <c r="I59" s="255"/>
      <c r="J59" s="255"/>
      <c r="K59" s="295" t="s">
        <v>60</v>
      </c>
      <c r="L59" s="295" t="s">
        <v>60</v>
      </c>
      <c r="M59" s="16"/>
      <c r="N59" s="16"/>
      <c r="O59" s="16"/>
    </row>
    <row r="60" ht="43.8" outlineLevel="1" s="14" customFormat="1">
      <c r="A60" s="18" t="s">
        <v>529</v>
      </c>
      <c r="B60" s="17" t="s">
        <v>578</v>
      </c>
      <c r="C60" s="16"/>
      <c r="D60" s="16" t="s">
        <v>534</v>
      </c>
      <c r="E60" s="195" t="s">
        <v>579</v>
      </c>
      <c r="F60" s="195" t="s">
        <v>580</v>
      </c>
      <c r="G60" s="261" t="s">
        <v>581</v>
      </c>
      <c r="H60" s="17"/>
      <c r="I60" s="255"/>
      <c r="J60" s="255"/>
      <c r="K60" s="295" t="s">
        <v>60</v>
      </c>
      <c r="L60" s="296" t="s">
        <v>60</v>
      </c>
      <c r="M60" s="16"/>
      <c r="N60" s="16"/>
      <c r="O60" s="16"/>
    </row>
    <row r="61" outlineLevel="2" s="14" customFormat="1">
      <c r="A61" s="18"/>
      <c r="B61" s="17"/>
      <c r="C61" s="16"/>
      <c r="D61" s="16"/>
      <c r="E61" s="195"/>
      <c r="F61" s="87"/>
      <c r="G61" s="201"/>
      <c r="H61" s="18" t="s">
        <v>91</v>
      </c>
      <c r="I61" s="256" t="s">
        <v>349</v>
      </c>
      <c r="J61" s="255" t="s">
        <v>406</v>
      </c>
      <c r="K61" s="295" t="s">
        <v>60</v>
      </c>
      <c r="L61" s="296" t="s">
        <v>60</v>
      </c>
      <c r="M61" s="16"/>
      <c r="N61" s="16"/>
      <c r="O61" s="16"/>
    </row>
    <row r="62" outlineLevel="2" s="14" customFormat="1">
      <c r="A62" s="18"/>
      <c r="B62" s="17"/>
      <c r="C62" s="16"/>
      <c r="D62" s="16"/>
      <c r="E62" s="195"/>
      <c r="F62" s="87"/>
      <c r="G62" s="201"/>
      <c r="H62" s="18" t="s">
        <v>91</v>
      </c>
      <c r="I62" s="255" t="s">
        <v>336</v>
      </c>
      <c r="J62" s="255">
        <v>2000</v>
      </c>
      <c r="K62" s="295" t="s">
        <v>60</v>
      </c>
      <c r="L62" s="296" t="s">
        <v>60</v>
      </c>
      <c r="M62" s="16"/>
      <c r="N62" s="16"/>
      <c r="O62" s="16"/>
    </row>
    <row r="63" outlineLevel="2" s="197" customFormat="1">
      <c r="A63" s="18"/>
      <c r="B63" s="17"/>
      <c r="C63" s="199"/>
      <c r="D63" s="199"/>
      <c r="E63" s="195"/>
      <c r="F63" s="87"/>
      <c r="G63" s="201"/>
      <c r="H63" s="18" t="s">
        <v>91</v>
      </c>
      <c r="I63" s="256" t="s">
        <v>349</v>
      </c>
      <c r="J63" s="255" t="s">
        <v>407</v>
      </c>
      <c r="K63" s="295" t="s">
        <v>60</v>
      </c>
      <c r="L63" s="296" t="s">
        <v>60</v>
      </c>
      <c r="M63" s="199"/>
      <c r="N63" s="199"/>
      <c r="O63" s="199"/>
    </row>
    <row r="64" outlineLevel="2" s="14" customFormat="1">
      <c r="A64" s="18"/>
      <c r="B64" s="17"/>
      <c r="C64" s="16"/>
      <c r="D64" s="16"/>
      <c r="E64" s="195"/>
      <c r="F64" s="87"/>
      <c r="G64" s="201"/>
      <c r="H64" s="18" t="s">
        <v>91</v>
      </c>
      <c r="I64" s="256" t="s">
        <v>349</v>
      </c>
      <c r="J64" s="255" t="s">
        <v>539</v>
      </c>
      <c r="K64" s="295" t="s">
        <v>60</v>
      </c>
      <c r="L64" s="296" t="s">
        <v>60</v>
      </c>
      <c r="M64" s="16"/>
      <c r="N64" s="16"/>
      <c r="O64" s="16"/>
    </row>
    <row r="65" outlineLevel="2" s="14" customFormat="1">
      <c r="A65" s="18"/>
      <c r="B65" s="17"/>
      <c r="C65" s="16"/>
      <c r="D65" s="16"/>
      <c r="E65" s="195"/>
      <c r="F65" s="87"/>
      <c r="G65" s="201"/>
      <c r="H65" s="18" t="s">
        <v>91</v>
      </c>
      <c r="I65" s="256" t="s">
        <v>349</v>
      </c>
      <c r="J65" s="255" t="s">
        <v>563</v>
      </c>
      <c r="K65" s="295" t="s">
        <v>60</v>
      </c>
      <c r="L65" s="296" t="s">
        <v>60</v>
      </c>
      <c r="M65" s="16"/>
      <c r="N65" s="16"/>
      <c r="O65" s="16"/>
    </row>
    <row r="66" outlineLevel="2" s="14" customFormat="1">
      <c r="A66" s="18"/>
      <c r="B66" s="17"/>
      <c r="C66" s="16"/>
      <c r="D66" s="16"/>
      <c r="E66" s="195"/>
      <c r="F66" s="87"/>
      <c r="G66" s="201"/>
      <c r="H66" s="18" t="s">
        <v>91</v>
      </c>
      <c r="I66" s="255" t="s">
        <v>336</v>
      </c>
      <c r="J66" s="255">
        <v>60000</v>
      </c>
      <c r="K66" s="295" t="s">
        <v>60</v>
      </c>
      <c r="L66" s="296" t="s">
        <v>60</v>
      </c>
      <c r="M66" s="16"/>
      <c r="N66" s="16"/>
      <c r="O66" s="16"/>
    </row>
    <row r="67" outlineLevel="2" s="197" customFormat="1">
      <c r="A67" s="18"/>
      <c r="B67" s="17"/>
      <c r="C67" s="199"/>
      <c r="D67" s="199"/>
      <c r="E67" s="195"/>
      <c r="F67" s="87"/>
      <c r="G67" s="201"/>
      <c r="H67" s="18" t="s">
        <v>91</v>
      </c>
      <c r="I67" s="256" t="s">
        <v>349</v>
      </c>
      <c r="J67" s="255" t="s">
        <v>540</v>
      </c>
      <c r="K67" s="295" t="s">
        <v>60</v>
      </c>
      <c r="L67" s="296" t="s">
        <v>60</v>
      </c>
      <c r="M67" s="199"/>
      <c r="N67" s="199"/>
      <c r="O67" s="199"/>
    </row>
    <row r="68" outlineLevel="2" s="14" customFormat="1">
      <c r="A68" s="18"/>
      <c r="B68" s="17"/>
      <c r="C68" s="16"/>
      <c r="D68" s="16"/>
      <c r="E68" s="195"/>
      <c r="F68" s="87"/>
      <c r="G68" s="201"/>
      <c r="H68" s="18" t="s">
        <v>91</v>
      </c>
      <c r="I68" s="16" t="s">
        <v>541</v>
      </c>
      <c r="J68" s="271" t="s">
        <v>582</v>
      </c>
      <c r="K68" s="295" t="s">
        <v>60</v>
      </c>
      <c r="L68" s="296" t="s">
        <v>60</v>
      </c>
      <c r="M68" s="16"/>
      <c r="N68" s="16"/>
      <c r="O68" s="16"/>
    </row>
    <row r="69" outlineLevel="2" s="14" customFormat="1">
      <c r="A69" s="18"/>
      <c r="B69" s="17"/>
      <c r="C69" s="16"/>
      <c r="D69" s="16"/>
      <c r="E69" s="195"/>
      <c r="F69" s="87"/>
      <c r="G69" s="201"/>
      <c r="H69" s="18"/>
      <c r="I69" s="255"/>
      <c r="J69" s="271"/>
      <c r="K69" s="295" t="s">
        <v>60</v>
      </c>
      <c r="L69" s="295" t="s">
        <v>60</v>
      </c>
      <c r="M69" s="16"/>
      <c r="N69" s="16"/>
      <c r="O69" s="16"/>
    </row>
    <row r="70" ht="43.2" outlineLevel="1" s="14" customFormat="1">
      <c r="A70" s="18" t="s">
        <v>529</v>
      </c>
      <c r="B70" s="17" t="s">
        <v>583</v>
      </c>
      <c r="C70" s="16"/>
      <c r="D70" s="16"/>
      <c r="E70" s="195"/>
      <c r="F70" s="195" t="s">
        <v>584</v>
      </c>
      <c r="G70" s="201" t="s">
        <v>537</v>
      </c>
      <c r="H70" s="17"/>
      <c r="I70" s="255"/>
      <c r="J70" s="255"/>
      <c r="K70" s="295" t="s">
        <v>60</v>
      </c>
      <c r="L70" s="296" t="s">
        <v>60</v>
      </c>
      <c r="M70" s="16"/>
      <c r="N70" s="16"/>
      <c r="O70" s="16"/>
    </row>
    <row r="71" outlineLevel="2" s="14" customFormat="1">
      <c r="A71" s="18"/>
      <c r="B71" s="17"/>
      <c r="C71" s="16"/>
      <c r="D71" s="16"/>
      <c r="E71" s="195"/>
      <c r="F71" s="87"/>
      <c r="G71" s="201"/>
      <c r="H71" s="18" t="s">
        <v>91</v>
      </c>
      <c r="I71" s="256" t="s">
        <v>349</v>
      </c>
      <c r="J71" s="255" t="s">
        <v>406</v>
      </c>
      <c r="K71" s="295" t="s">
        <v>60</v>
      </c>
      <c r="L71" s="296" t="s">
        <v>60</v>
      </c>
      <c r="M71" s="16"/>
      <c r="N71" s="16"/>
      <c r="O71" s="16"/>
    </row>
    <row r="72" outlineLevel="2" s="14" customFormat="1">
      <c r="A72" s="18"/>
      <c r="B72" s="17"/>
      <c r="C72" s="16"/>
      <c r="D72" s="16"/>
      <c r="E72" s="195"/>
      <c r="F72" s="87"/>
      <c r="G72" s="201"/>
      <c r="H72" s="18" t="s">
        <v>91</v>
      </c>
      <c r="I72" s="255" t="s">
        <v>336</v>
      </c>
      <c r="J72" s="255">
        <v>2000</v>
      </c>
      <c r="K72" s="295" t="s">
        <v>60</v>
      </c>
      <c r="L72" s="296" t="s">
        <v>60</v>
      </c>
      <c r="M72" s="16"/>
      <c r="N72" s="16"/>
      <c r="O72" s="16"/>
    </row>
    <row r="73" outlineLevel="2" s="14" customFormat="1">
      <c r="A73" s="18"/>
      <c r="B73" s="17"/>
      <c r="C73" s="16"/>
      <c r="D73" s="16"/>
      <c r="E73" s="195"/>
      <c r="F73" s="87"/>
      <c r="G73" s="201"/>
      <c r="H73" s="18" t="s">
        <v>91</v>
      </c>
      <c r="I73" s="256" t="s">
        <v>349</v>
      </c>
      <c r="J73" s="255" t="s">
        <v>407</v>
      </c>
      <c r="K73" s="295" t="s">
        <v>60</v>
      </c>
      <c r="L73" s="296" t="s">
        <v>60</v>
      </c>
      <c r="M73" s="16"/>
      <c r="N73" s="16"/>
      <c r="O73" s="16"/>
    </row>
    <row r="74" outlineLevel="2" s="14" customFormat="1">
      <c r="A74" s="18"/>
      <c r="B74" s="17"/>
      <c r="C74" s="16"/>
      <c r="D74" s="16"/>
      <c r="E74" s="195"/>
      <c r="F74" s="87"/>
      <c r="G74" s="201"/>
      <c r="H74" s="18" t="s">
        <v>91</v>
      </c>
      <c r="I74" s="16" t="s">
        <v>541</v>
      </c>
      <c r="J74" s="255" t="s">
        <v>585</v>
      </c>
      <c r="K74" s="295" t="s">
        <v>60</v>
      </c>
      <c r="L74" s="296" t="s">
        <v>60</v>
      </c>
      <c r="M74" s="16"/>
      <c r="N74" s="16"/>
      <c r="O74" s="16"/>
    </row>
    <row r="75" outlineLevel="2" s="14" customFormat="1">
      <c r="A75" s="18"/>
      <c r="B75" s="17"/>
      <c r="C75" s="16"/>
      <c r="D75" s="16"/>
      <c r="E75" s="195"/>
      <c r="F75" s="87"/>
      <c r="G75" s="201"/>
      <c r="H75" s="18"/>
      <c r="I75" s="16"/>
      <c r="J75" s="255"/>
      <c r="K75" s="295" t="s">
        <v>60</v>
      </c>
      <c r="L75" s="295" t="s">
        <v>60</v>
      </c>
      <c r="M75" s="16"/>
      <c r="N75" s="16"/>
      <c r="O75" s="16"/>
    </row>
    <row r="76" ht="43.8" outlineLevel="1" s="14" customFormat="1">
      <c r="A76" s="257"/>
      <c r="B76" s="258" t="s">
        <v>586</v>
      </c>
      <c r="C76" s="259"/>
      <c r="D76" s="259" t="s">
        <v>534</v>
      </c>
      <c r="E76" s="260" t="s">
        <v>579</v>
      </c>
      <c r="F76" s="260" t="s">
        <v>587</v>
      </c>
      <c r="G76" s="261" t="s">
        <v>588</v>
      </c>
      <c r="H76" s="17"/>
      <c r="I76" s="255"/>
      <c r="J76" s="255"/>
      <c r="K76" s="295" t="s">
        <v>60</v>
      </c>
      <c r="L76" s="295" t="s">
        <v>60</v>
      </c>
      <c r="M76" s="16"/>
      <c r="N76" s="16"/>
      <c r="O76" s="16"/>
    </row>
    <row r="77" outlineLevel="2" s="14" customFormat="1">
      <c r="A77" s="18"/>
      <c r="B77" s="17"/>
      <c r="C77" s="16"/>
      <c r="D77" s="16"/>
      <c r="E77" s="195"/>
      <c r="F77" s="87"/>
      <c r="G77" s="201"/>
      <c r="H77" s="18" t="s">
        <v>91</v>
      </c>
      <c r="I77" s="256" t="s">
        <v>349</v>
      </c>
      <c r="J77" s="255" t="s">
        <v>563</v>
      </c>
      <c r="K77" s="295" t="s">
        <v>60</v>
      </c>
      <c r="L77" s="295" t="s">
        <v>60</v>
      </c>
      <c r="M77" s="16"/>
      <c r="N77" s="16"/>
      <c r="O77" s="16"/>
    </row>
    <row r="78" outlineLevel="2" s="14" customFormat="1">
      <c r="A78" s="18"/>
      <c r="B78" s="17"/>
      <c r="C78" s="16"/>
      <c r="D78" s="16"/>
      <c r="E78" s="195"/>
      <c r="F78" s="87"/>
      <c r="G78" s="201"/>
      <c r="H78" s="18" t="s">
        <v>91</v>
      </c>
      <c r="I78" s="255" t="s">
        <v>336</v>
      </c>
      <c r="J78" s="255">
        <v>149999000</v>
      </c>
      <c r="K78" s="295" t="s">
        <v>60</v>
      </c>
      <c r="L78" s="295" t="s">
        <v>60</v>
      </c>
      <c r="M78" s="16"/>
      <c r="N78" s="16"/>
      <c r="O78" s="16"/>
    </row>
    <row r="79" outlineLevel="2" s="197" customFormat="1">
      <c r="A79" s="18"/>
      <c r="B79" s="17"/>
      <c r="C79" s="199"/>
      <c r="D79" s="199"/>
      <c r="E79" s="195"/>
      <c r="F79" s="87"/>
      <c r="G79" s="201"/>
      <c r="H79" s="18" t="s">
        <v>91</v>
      </c>
      <c r="I79" s="256" t="s">
        <v>349</v>
      </c>
      <c r="J79" s="255" t="s">
        <v>540</v>
      </c>
      <c r="K79" s="295" t="s">
        <v>60</v>
      </c>
      <c r="L79" s="295" t="s">
        <v>60</v>
      </c>
      <c r="M79" s="199"/>
      <c r="N79" s="199"/>
      <c r="O79" s="199"/>
    </row>
    <row r="80" outlineLevel="2" s="14" customFormat="1">
      <c r="A80" s="18"/>
      <c r="B80" s="17"/>
      <c r="C80" s="16"/>
      <c r="D80" s="16"/>
      <c r="E80" s="195"/>
      <c r="F80" s="87"/>
      <c r="G80" s="201"/>
      <c r="H80" s="18" t="s">
        <v>91</v>
      </c>
      <c r="I80" s="16" t="s">
        <v>541</v>
      </c>
      <c r="J80" s="255" t="s">
        <v>589</v>
      </c>
      <c r="K80" s="295" t="s">
        <v>60</v>
      </c>
      <c r="L80" s="295" t="s">
        <v>60</v>
      </c>
      <c r="M80" s="16"/>
      <c r="N80" s="16"/>
      <c r="O80" s="16"/>
    </row>
    <row r="81" outlineLevel="2" s="14" customFormat="1">
      <c r="A81" s="18"/>
      <c r="B81" s="17"/>
      <c r="C81" s="16"/>
      <c r="D81" s="16"/>
      <c r="E81" s="195"/>
      <c r="F81" s="87"/>
      <c r="G81" s="201"/>
      <c r="H81" s="18"/>
      <c r="I81" s="255"/>
      <c r="J81" s="255"/>
      <c r="K81" s="295" t="s">
        <v>60</v>
      </c>
      <c r="L81" s="295" t="s">
        <v>60</v>
      </c>
      <c r="M81" s="16"/>
      <c r="N81" s="16"/>
      <c r="O81" s="16"/>
    </row>
    <row r="82" ht="29.4" outlineLevel="1" s="14" customFormat="1">
      <c r="A82" s="257"/>
      <c r="B82" s="258" t="s">
        <v>590</v>
      </c>
      <c r="C82" s="259"/>
      <c r="D82" s="259"/>
      <c r="E82" s="259"/>
      <c r="F82" s="260" t="s">
        <v>591</v>
      </c>
      <c r="G82" s="261" t="s">
        <v>537</v>
      </c>
      <c r="H82" s="17"/>
      <c r="I82" s="255"/>
      <c r="J82" s="255"/>
      <c r="K82" s="295" t="s">
        <v>60</v>
      </c>
      <c r="L82" s="295" t="s">
        <v>60</v>
      </c>
      <c r="M82" s="16"/>
      <c r="N82" s="16"/>
      <c r="O82" s="16"/>
    </row>
    <row r="83" outlineLevel="2" s="14" customFormat="1">
      <c r="A83" s="18"/>
      <c r="B83" s="17"/>
      <c r="C83" s="16"/>
      <c r="D83" s="16"/>
      <c r="E83" s="195"/>
      <c r="F83" s="87"/>
      <c r="G83" s="201"/>
      <c r="H83" s="18" t="s">
        <v>91</v>
      </c>
      <c r="I83" s="255" t="s">
        <v>336</v>
      </c>
      <c r="J83" s="255">
        <v>1500</v>
      </c>
      <c r="K83" s="295" t="s">
        <v>60</v>
      </c>
      <c r="L83" s="295" t="s">
        <v>60</v>
      </c>
      <c r="M83" s="16"/>
      <c r="N83" s="16"/>
      <c r="O83" s="16"/>
    </row>
    <row r="84" outlineLevel="2" s="14" customFormat="1">
      <c r="A84" s="18"/>
      <c r="B84" s="17"/>
      <c r="C84" s="16"/>
      <c r="D84" s="16"/>
      <c r="E84" s="195"/>
      <c r="F84" s="87"/>
      <c r="G84" s="201"/>
      <c r="H84" s="18" t="s">
        <v>91</v>
      </c>
      <c r="I84" s="16" t="s">
        <v>541</v>
      </c>
      <c r="J84" s="255" t="s">
        <v>585</v>
      </c>
      <c r="K84" s="295" t="s">
        <v>60</v>
      </c>
      <c r="L84" s="295" t="s">
        <v>60</v>
      </c>
      <c r="M84" s="16"/>
      <c r="N84" s="16"/>
      <c r="O84" s="16"/>
    </row>
    <row r="85" outlineLevel="2" s="14" customFormat="1">
      <c r="A85" s="18"/>
      <c r="B85" s="17"/>
      <c r="C85" s="16"/>
      <c r="D85" s="16"/>
      <c r="E85" s="195"/>
      <c r="F85" s="87"/>
      <c r="G85" s="201"/>
      <c r="H85" s="18"/>
      <c r="I85" s="255"/>
      <c r="J85" s="255"/>
      <c r="K85" s="295" t="s">
        <v>60</v>
      </c>
      <c r="L85" s="295" t="s">
        <v>60</v>
      </c>
      <c r="M85" s="16"/>
      <c r="N85" s="16"/>
      <c r="O85" s="16"/>
    </row>
    <row r="86" ht="29.4" outlineLevel="1" s="14" customFormat="1">
      <c r="A86" s="257"/>
      <c r="B86" s="258" t="s">
        <v>592</v>
      </c>
      <c r="C86" s="259"/>
      <c r="D86" s="259"/>
      <c r="E86" s="259"/>
      <c r="F86" s="260" t="s">
        <v>551</v>
      </c>
      <c r="G86" s="261" t="s">
        <v>593</v>
      </c>
      <c r="H86" s="17"/>
      <c r="I86" s="255"/>
      <c r="J86" s="255"/>
      <c r="K86" s="295" t="s">
        <v>60</v>
      </c>
      <c r="L86" s="295" t="s">
        <v>60</v>
      </c>
      <c r="M86" s="16"/>
      <c r="N86" s="16"/>
      <c r="O86" s="16"/>
    </row>
    <row r="87" outlineLevel="2" s="14" customFormat="1">
      <c r="A87" s="18"/>
      <c r="B87" s="17"/>
      <c r="C87" s="16"/>
      <c r="D87" s="16"/>
      <c r="E87" s="195"/>
      <c r="F87" s="87"/>
      <c r="G87" s="201"/>
      <c r="H87" s="18" t="s">
        <v>91</v>
      </c>
      <c r="I87" s="256" t="s">
        <v>349</v>
      </c>
      <c r="J87" s="255" t="s">
        <v>553</v>
      </c>
      <c r="K87" s="295" t="s">
        <v>60</v>
      </c>
      <c r="L87" s="295" t="s">
        <v>60</v>
      </c>
      <c r="M87" s="16"/>
      <c r="N87" s="16"/>
      <c r="O87" s="16"/>
    </row>
    <row r="88" outlineLevel="2" s="14" customFormat="1">
      <c r="A88" s="18"/>
      <c r="B88" s="17"/>
      <c r="C88" s="16"/>
      <c r="D88" s="16"/>
      <c r="E88" s="195"/>
      <c r="F88" s="87"/>
      <c r="G88" s="201"/>
      <c r="H88" s="18" t="s">
        <v>91</v>
      </c>
      <c r="I88" s="255" t="s">
        <v>336</v>
      </c>
      <c r="J88" s="255">
        <v>60000</v>
      </c>
      <c r="K88" s="295" t="s">
        <v>60</v>
      </c>
      <c r="L88" s="295" t="s">
        <v>60</v>
      </c>
      <c r="M88" s="16"/>
      <c r="N88" s="16"/>
      <c r="O88" s="16"/>
    </row>
    <row r="89" outlineLevel="2" s="197" customFormat="1">
      <c r="A89" s="18"/>
      <c r="B89" s="17"/>
      <c r="C89" s="199"/>
      <c r="D89" s="199"/>
      <c r="E89" s="195"/>
      <c r="F89" s="87"/>
      <c r="G89" s="201"/>
      <c r="H89" s="18" t="s">
        <v>91</v>
      </c>
      <c r="I89" s="256" t="s">
        <v>349</v>
      </c>
      <c r="J89" s="255" t="s">
        <v>540</v>
      </c>
      <c r="K89" s="295" t="s">
        <v>60</v>
      </c>
      <c r="L89" s="295" t="s">
        <v>60</v>
      </c>
      <c r="M89" s="199"/>
      <c r="N89" s="199"/>
      <c r="O89" s="199"/>
    </row>
    <row r="90" outlineLevel="2" s="14" customFormat="1">
      <c r="A90" s="18"/>
      <c r="B90" s="17"/>
      <c r="C90" s="16"/>
      <c r="D90" s="16"/>
      <c r="E90" s="195"/>
      <c r="F90" s="87"/>
      <c r="G90" s="201"/>
      <c r="H90" s="18" t="s">
        <v>91</v>
      </c>
      <c r="I90" s="16" t="s">
        <v>541</v>
      </c>
      <c r="J90" s="255" t="s">
        <v>594</v>
      </c>
      <c r="K90" s="295" t="s">
        <v>60</v>
      </c>
      <c r="L90" s="295" t="s">
        <v>60</v>
      </c>
      <c r="M90" s="16"/>
      <c r="N90" s="16"/>
      <c r="O90" s="16"/>
    </row>
    <row r="91" outlineLevel="2" s="14" customFormat="1">
      <c r="A91" s="18"/>
      <c r="B91" s="17"/>
      <c r="C91" s="16"/>
      <c r="D91" s="16"/>
      <c r="E91" s="195"/>
      <c r="F91" s="87"/>
      <c r="G91" s="201"/>
      <c r="H91" s="18"/>
      <c r="I91" s="255"/>
      <c r="J91" s="255"/>
      <c r="K91" s="295" t="s">
        <v>60</v>
      </c>
      <c r="L91" s="295" t="s">
        <v>60</v>
      </c>
      <c r="M91" s="16"/>
      <c r="N91" s="16"/>
      <c r="O91" s="16"/>
    </row>
    <row r="92" outlineLevel="1" s="14" customFormat="1">
      <c r="A92" s="18"/>
      <c r="B92" s="17"/>
      <c r="C92" s="16"/>
      <c r="D92" s="16"/>
      <c r="E92" s="16"/>
      <c r="F92" s="195"/>
      <c r="G92" s="195"/>
      <c r="H92" s="17"/>
      <c r="I92" s="255"/>
      <c r="J92" s="255"/>
      <c r="K92" s="295" t="s">
        <v>60</v>
      </c>
      <c r="L92" s="295" t="s">
        <v>60</v>
      </c>
      <c r="M92" s="16"/>
      <c r="N92" s="16"/>
      <c r="O92" s="16"/>
    </row>
    <row r="93" s="193" customFormat="1">
      <c r="A93" s="191" t="s">
        <v>529</v>
      </c>
      <c r="B93" s="250" t="s">
        <v>595</v>
      </c>
      <c r="C93" s="192"/>
      <c r="D93" s="192"/>
      <c r="E93" s="192"/>
      <c r="F93" s="198"/>
      <c r="G93" s="192"/>
      <c r="H93" s="253"/>
      <c r="I93" s="254"/>
      <c r="J93" s="254"/>
      <c r="K93" s="293" t="s">
        <v>60</v>
      </c>
      <c r="L93" s="295" t="s">
        <v>60</v>
      </c>
      <c r="M93" s="192"/>
      <c r="N93" s="192"/>
      <c r="O93" s="192"/>
    </row>
    <row r="94" ht="43.8" outlineLevel="1" s="14" customFormat="1">
      <c r="A94" s="18" t="s">
        <v>529</v>
      </c>
      <c r="B94" s="17" t="s">
        <v>596</v>
      </c>
      <c r="C94" s="16"/>
      <c r="D94" s="16" t="s">
        <v>534</v>
      </c>
      <c r="E94" s="195" t="s">
        <v>579</v>
      </c>
      <c r="F94" s="195" t="s">
        <v>580</v>
      </c>
      <c r="G94" s="201" t="s">
        <v>597</v>
      </c>
      <c r="H94" s="17"/>
      <c r="I94" s="255"/>
      <c r="J94" s="255"/>
      <c r="K94" s="295" t="s">
        <v>60</v>
      </c>
      <c r="L94" s="296" t="s">
        <v>60</v>
      </c>
      <c r="M94" s="16"/>
      <c r="N94" s="16"/>
      <c r="O94" s="16"/>
    </row>
    <row r="95" outlineLevel="2" s="14" customFormat="1">
      <c r="A95" s="18"/>
      <c r="B95" s="17"/>
      <c r="C95" s="16"/>
      <c r="D95" s="16"/>
      <c r="E95" s="195"/>
      <c r="F95" s="87"/>
      <c r="G95" s="201"/>
      <c r="H95" s="18" t="s">
        <v>91</v>
      </c>
      <c r="I95" s="256" t="s">
        <v>349</v>
      </c>
      <c r="J95" s="255" t="s">
        <v>406</v>
      </c>
      <c r="K95" s="295" t="s">
        <v>60</v>
      </c>
      <c r="L95" s="296" t="s">
        <v>60</v>
      </c>
      <c r="M95" s="16"/>
      <c r="N95" s="16"/>
      <c r="O95" s="16"/>
    </row>
    <row r="96" outlineLevel="2" s="14" customFormat="1">
      <c r="A96" s="18"/>
      <c r="B96" s="17"/>
      <c r="C96" s="16"/>
      <c r="D96" s="16"/>
      <c r="E96" s="195"/>
      <c r="F96" s="87"/>
      <c r="G96" s="201"/>
      <c r="H96" s="18" t="s">
        <v>91</v>
      </c>
      <c r="I96" s="255" t="s">
        <v>336</v>
      </c>
      <c r="J96" s="255">
        <v>2000</v>
      </c>
      <c r="K96" s="295" t="s">
        <v>60</v>
      </c>
      <c r="L96" s="296" t="s">
        <v>60</v>
      </c>
      <c r="M96" s="16"/>
      <c r="N96" s="16"/>
      <c r="O96" s="16"/>
    </row>
    <row r="97" outlineLevel="2" s="197" customFormat="1">
      <c r="A97" s="18"/>
      <c r="B97" s="17"/>
      <c r="C97" s="199"/>
      <c r="D97" s="199"/>
      <c r="E97" s="195"/>
      <c r="F97" s="87"/>
      <c r="G97" s="201"/>
      <c r="H97" s="18" t="s">
        <v>91</v>
      </c>
      <c r="I97" s="256" t="s">
        <v>349</v>
      </c>
      <c r="J97" s="255" t="s">
        <v>407</v>
      </c>
      <c r="K97" s="295" t="s">
        <v>60</v>
      </c>
      <c r="L97" s="296" t="s">
        <v>60</v>
      </c>
      <c r="M97" s="199"/>
      <c r="N97" s="199"/>
      <c r="O97" s="199"/>
    </row>
    <row r="98" outlineLevel="2" s="14" customFormat="1">
      <c r="A98" s="18"/>
      <c r="B98" s="17"/>
      <c r="C98" s="16"/>
      <c r="D98" s="16"/>
      <c r="E98" s="195"/>
      <c r="F98" s="87"/>
      <c r="G98" s="201"/>
      <c r="H98" s="18" t="s">
        <v>91</v>
      </c>
      <c r="I98" s="256" t="s">
        <v>349</v>
      </c>
      <c r="J98" s="255" t="s">
        <v>539</v>
      </c>
      <c r="K98" s="295" t="s">
        <v>60</v>
      </c>
      <c r="L98" s="296" t="s">
        <v>60</v>
      </c>
      <c r="M98" s="16"/>
      <c r="N98" s="16"/>
      <c r="O98" s="16"/>
    </row>
    <row r="99" outlineLevel="2" s="14" customFormat="1">
      <c r="A99" s="18"/>
      <c r="B99" s="17"/>
      <c r="C99" s="16"/>
      <c r="D99" s="16"/>
      <c r="E99" s="195"/>
      <c r="F99" s="87"/>
      <c r="G99" s="201"/>
      <c r="H99" s="18" t="s">
        <v>91</v>
      </c>
      <c r="I99" s="256" t="s">
        <v>349</v>
      </c>
      <c r="J99" s="255" t="s">
        <v>563</v>
      </c>
      <c r="K99" s="295" t="s">
        <v>60</v>
      </c>
      <c r="L99" s="296" t="s">
        <v>60</v>
      </c>
      <c r="M99" s="16"/>
      <c r="N99" s="16"/>
      <c r="O99" s="16"/>
    </row>
    <row r="100" outlineLevel="2" s="14" customFormat="1">
      <c r="A100" s="18"/>
      <c r="B100" s="17"/>
      <c r="C100" s="16"/>
      <c r="D100" s="16"/>
      <c r="E100" s="195"/>
      <c r="F100" s="87"/>
      <c r="G100" s="201"/>
      <c r="H100" s="18" t="s">
        <v>91</v>
      </c>
      <c r="I100" s="255" t="s">
        <v>336</v>
      </c>
      <c r="J100" s="255">
        <v>60000</v>
      </c>
      <c r="K100" s="295" t="s">
        <v>60</v>
      </c>
      <c r="L100" s="296" t="s">
        <v>60</v>
      </c>
      <c r="M100" s="16"/>
      <c r="N100" s="16"/>
      <c r="O100" s="16"/>
    </row>
    <row r="101" outlineLevel="2" s="197" customFormat="1">
      <c r="A101" s="18"/>
      <c r="B101" s="17"/>
      <c r="C101" s="199"/>
      <c r="D101" s="199"/>
      <c r="E101" s="195"/>
      <c r="F101" s="87"/>
      <c r="G101" s="201"/>
      <c r="H101" s="18" t="s">
        <v>91</v>
      </c>
      <c r="I101" s="256" t="s">
        <v>349</v>
      </c>
      <c r="J101" s="255" t="s">
        <v>540</v>
      </c>
      <c r="K101" s="295" t="s">
        <v>60</v>
      </c>
      <c r="L101" s="296" t="s">
        <v>60</v>
      </c>
      <c r="M101" s="199"/>
      <c r="N101" s="199"/>
      <c r="O101" s="199"/>
    </row>
    <row r="102" outlineLevel="2" s="14" customFormat="1">
      <c r="A102" s="18"/>
      <c r="B102" s="17"/>
      <c r="C102" s="16"/>
      <c r="D102" s="16"/>
      <c r="E102" s="195"/>
      <c r="F102" s="87"/>
      <c r="G102" s="201"/>
      <c r="H102" s="18" t="s">
        <v>91</v>
      </c>
      <c r="I102" s="16" t="s">
        <v>541</v>
      </c>
      <c r="J102" s="255" t="s">
        <v>598</v>
      </c>
      <c r="K102" s="295" t="s">
        <v>60</v>
      </c>
      <c r="L102" s="296" t="s">
        <v>60</v>
      </c>
      <c r="M102" s="16"/>
      <c r="N102" s="16"/>
      <c r="O102" s="16"/>
    </row>
    <row r="103" outlineLevel="2" s="14" customFormat="1">
      <c r="A103" s="18"/>
      <c r="B103" s="17"/>
      <c r="C103" s="16"/>
      <c r="D103" s="16"/>
      <c r="E103" s="195"/>
      <c r="F103" s="87"/>
      <c r="G103" s="201"/>
      <c r="H103" s="18"/>
      <c r="I103" s="255"/>
      <c r="J103" s="255"/>
      <c r="K103" s="295" t="s">
        <v>60</v>
      </c>
      <c r="L103" s="295" t="s">
        <v>60</v>
      </c>
      <c r="M103" s="16"/>
      <c r="N103" s="16"/>
      <c r="O103" s="16"/>
    </row>
    <row r="104" ht="15" outlineLevel="1" s="14" customFormat="1">
      <c r="A104" s="18" t="s">
        <v>529</v>
      </c>
      <c r="B104" s="17" t="s">
        <v>599</v>
      </c>
      <c r="C104" s="16"/>
      <c r="D104" s="16"/>
      <c r="E104" s="16"/>
      <c r="F104" s="196" t="s">
        <v>600</v>
      </c>
      <c r="G104" s="200" t="s">
        <v>601</v>
      </c>
      <c r="H104" s="17"/>
      <c r="I104" s="255"/>
      <c r="J104" s="255"/>
      <c r="K104" s="295" t="s">
        <v>60</v>
      </c>
      <c r="L104" s="296" t="s">
        <v>60</v>
      </c>
      <c r="M104" s="16"/>
      <c r="N104" s="16"/>
      <c r="O104" s="16"/>
    </row>
    <row r="105" ht="15" outlineLevel="2" s="14" customFormat="1">
      <c r="A105" s="18"/>
      <c r="B105" s="17"/>
      <c r="C105" s="16"/>
      <c r="D105" s="16"/>
      <c r="E105" s="16"/>
      <c r="F105" s="196"/>
      <c r="G105" s="200"/>
      <c r="H105" s="18" t="s">
        <v>91</v>
      </c>
      <c r="I105" s="255" t="s">
        <v>130</v>
      </c>
      <c r="J105" s="255" t="s">
        <v>418</v>
      </c>
      <c r="K105" s="295" t="s">
        <v>60</v>
      </c>
      <c r="L105" s="296" t="s">
        <v>60</v>
      </c>
      <c r="M105" s="16"/>
      <c r="N105" s="16"/>
      <c r="O105" s="16"/>
    </row>
    <row r="106" ht="15" outlineLevel="2" s="197" customFormat="1">
      <c r="A106" s="18"/>
      <c r="B106" s="17"/>
      <c r="C106" s="199"/>
      <c r="D106" s="199"/>
      <c r="E106" s="199"/>
      <c r="F106" s="196"/>
      <c r="G106" s="200"/>
      <c r="H106" s="257" t="s">
        <v>91</v>
      </c>
      <c r="I106" s="271" t="s">
        <v>336</v>
      </c>
      <c r="J106" s="271">
        <v>6000</v>
      </c>
      <c r="K106" s="295" t="s">
        <v>60</v>
      </c>
      <c r="L106" s="296" t="s">
        <v>60</v>
      </c>
      <c r="M106" s="199"/>
      <c r="N106" s="199"/>
      <c r="O106" s="199"/>
    </row>
    <row r="107" outlineLevel="2" s="14" customFormat="1">
      <c r="A107" s="18"/>
      <c r="B107" s="17"/>
      <c r="C107" s="16"/>
      <c r="D107" s="16"/>
      <c r="E107" s="195"/>
      <c r="F107" s="87"/>
      <c r="G107" s="201"/>
      <c r="H107" s="18" t="s">
        <v>91</v>
      </c>
      <c r="I107" s="16" t="s">
        <v>541</v>
      </c>
      <c r="J107" s="255" t="s">
        <v>602</v>
      </c>
      <c r="K107" s="295" t="s">
        <v>60</v>
      </c>
      <c r="L107" s="296" t="s">
        <v>60</v>
      </c>
      <c r="M107" s="16"/>
      <c r="N107" s="16"/>
      <c r="O107" s="16"/>
    </row>
    <row r="108" ht="15" outlineLevel="2" s="14" customFormat="1">
      <c r="A108" s="18"/>
      <c r="B108" s="17"/>
      <c r="C108" s="16"/>
      <c r="D108" s="16"/>
      <c r="E108" s="16"/>
      <c r="F108" s="196"/>
      <c r="G108" s="200"/>
      <c r="H108" s="17"/>
      <c r="I108" s="255"/>
      <c r="J108" s="255"/>
      <c r="K108" s="295" t="s">
        <v>60</v>
      </c>
      <c r="L108" s="295" t="s">
        <v>60</v>
      </c>
      <c r="M108" s="16"/>
      <c r="N108" s="16"/>
      <c r="O108" s="16"/>
    </row>
    <row r="109" ht="26.4" outlineLevel="1" s="14" customFormat="1">
      <c r="A109" s="18" t="s">
        <v>529</v>
      </c>
      <c r="B109" s="17" t="s">
        <v>603</v>
      </c>
      <c r="C109" s="16"/>
      <c r="D109" s="16"/>
      <c r="E109" s="16"/>
      <c r="F109" s="196" t="s">
        <v>604</v>
      </c>
      <c r="G109" s="285" t="s">
        <v>601</v>
      </c>
      <c r="H109" s="17"/>
      <c r="I109" s="255"/>
      <c r="J109" s="255"/>
      <c r="K109" s="295" t="s">
        <v>60</v>
      </c>
      <c r="L109" s="296" t="s">
        <v>60</v>
      </c>
      <c r="M109" s="16"/>
      <c r="N109" s="16"/>
      <c r="O109" s="16"/>
    </row>
    <row r="110" ht="15" outlineLevel="2" s="14" customFormat="1">
      <c r="A110" s="18"/>
      <c r="B110" s="17"/>
      <c r="C110" s="16"/>
      <c r="D110" s="16"/>
      <c r="E110" s="16"/>
      <c r="F110" s="196"/>
      <c r="G110" s="200"/>
      <c r="H110" s="18" t="s">
        <v>91</v>
      </c>
      <c r="I110" s="287" t="s">
        <v>130</v>
      </c>
      <c r="J110" s="255" t="s">
        <v>415</v>
      </c>
      <c r="K110" s="295" t="s">
        <v>60</v>
      </c>
      <c r="L110" s="296" t="s">
        <v>60</v>
      </c>
      <c r="M110" s="16"/>
      <c r="N110" s="16"/>
      <c r="O110" s="16"/>
    </row>
    <row r="111" ht="15" outlineLevel="2" s="197" customFormat="1">
      <c r="A111" s="18"/>
      <c r="B111" s="17"/>
      <c r="C111" s="199"/>
      <c r="D111" s="199"/>
      <c r="E111" s="199"/>
      <c r="F111" s="196"/>
      <c r="G111" s="200"/>
      <c r="H111" s="18" t="s">
        <v>91</v>
      </c>
      <c r="I111" s="255" t="s">
        <v>130</v>
      </c>
      <c r="J111" s="231" t="s">
        <v>403</v>
      </c>
      <c r="K111" s="295" t="s">
        <v>60</v>
      </c>
      <c r="L111" s="296" t="s">
        <v>60</v>
      </c>
      <c r="M111" s="199"/>
      <c r="N111" s="199"/>
      <c r="O111" s="199"/>
    </row>
    <row r="112" ht="15" outlineLevel="2" s="14" customFormat="1">
      <c r="A112" s="18"/>
      <c r="B112" s="17"/>
      <c r="C112" s="16"/>
      <c r="D112" s="16"/>
      <c r="E112" s="16"/>
      <c r="F112" s="196"/>
      <c r="G112" s="200"/>
      <c r="H112" s="18" t="s">
        <v>91</v>
      </c>
      <c r="I112" s="255" t="s">
        <v>336</v>
      </c>
      <c r="J112" s="255">
        <v>60000</v>
      </c>
      <c r="K112" s="295" t="s">
        <v>60</v>
      </c>
      <c r="L112" s="296" t="s">
        <v>60</v>
      </c>
      <c r="M112" s="16"/>
      <c r="N112" s="16"/>
      <c r="O112" s="16"/>
    </row>
    <row r="113" outlineLevel="2" s="283" customFormat="1">
      <c r="A113" s="277"/>
      <c r="B113" s="278"/>
      <c r="C113" s="279"/>
      <c r="D113" s="279"/>
      <c r="E113" s="280"/>
      <c r="F113" s="281"/>
      <c r="G113" s="282"/>
      <c r="H113" s="277" t="s">
        <v>91</v>
      </c>
      <c r="I113" s="279" t="s">
        <v>541</v>
      </c>
      <c r="J113" s="271" t="s">
        <v>602</v>
      </c>
      <c r="K113" s="298" t="s">
        <v>60</v>
      </c>
      <c r="L113" s="299" t="s">
        <v>60</v>
      </c>
      <c r="M113" s="279"/>
      <c r="N113" s="279"/>
      <c r="O113" s="279"/>
    </row>
    <row r="114" ht="15" outlineLevel="2" s="14" customFormat="1">
      <c r="A114" s="18"/>
      <c r="B114" s="17"/>
      <c r="C114" s="16"/>
      <c r="D114" s="16"/>
      <c r="E114" s="16"/>
      <c r="F114" s="196"/>
      <c r="G114" s="200"/>
      <c r="H114" s="17"/>
      <c r="I114" s="255"/>
      <c r="J114" s="255"/>
      <c r="K114" s="295" t="s">
        <v>60</v>
      </c>
      <c r="L114" s="295" t="s">
        <v>60</v>
      </c>
      <c r="M114" s="16"/>
      <c r="N114" s="16"/>
      <c r="O114" s="16"/>
    </row>
    <row r="115" ht="15" outlineLevel="1" s="14" customFormat="1">
      <c r="A115" s="18" t="s">
        <v>529</v>
      </c>
      <c r="B115" s="17" t="s">
        <v>605</v>
      </c>
      <c r="C115" s="16"/>
      <c r="D115" s="16"/>
      <c r="E115" s="16"/>
      <c r="F115" s="196" t="s">
        <v>606</v>
      </c>
      <c r="G115" s="200" t="s">
        <v>601</v>
      </c>
      <c r="H115" s="17"/>
      <c r="I115" s="255"/>
      <c r="J115" s="255"/>
      <c r="K115" s="295" t="s">
        <v>60</v>
      </c>
      <c r="L115" s="296" t="s">
        <v>60</v>
      </c>
      <c r="M115" s="16"/>
      <c r="N115" s="16"/>
      <c r="O115" s="16"/>
    </row>
    <row r="116" ht="15" outlineLevel="2" s="14" customFormat="1">
      <c r="A116" s="18"/>
      <c r="B116" s="17"/>
      <c r="C116" s="16"/>
      <c r="D116" s="16"/>
      <c r="E116" s="16"/>
      <c r="F116" s="196"/>
      <c r="G116" s="200"/>
      <c r="H116" s="18" t="s">
        <v>91</v>
      </c>
      <c r="I116" s="255" t="s">
        <v>130</v>
      </c>
      <c r="J116" s="255" t="s">
        <v>418</v>
      </c>
      <c r="K116" s="295" t="s">
        <v>60</v>
      </c>
      <c r="L116" s="296" t="s">
        <v>60</v>
      </c>
      <c r="M116" s="16"/>
      <c r="N116" s="16"/>
      <c r="O116" s="16"/>
    </row>
    <row r="117" outlineLevel="2" s="14" customFormat="1">
      <c r="A117" s="18"/>
      <c r="B117" s="17"/>
      <c r="C117" s="16"/>
      <c r="D117" s="16"/>
      <c r="E117" s="195"/>
      <c r="F117" s="87"/>
      <c r="G117" s="201"/>
      <c r="H117" s="18" t="s">
        <v>91</v>
      </c>
      <c r="I117" s="16" t="s">
        <v>541</v>
      </c>
      <c r="J117" s="255" t="s">
        <v>602</v>
      </c>
      <c r="K117" s="295" t="s">
        <v>60</v>
      </c>
      <c r="L117" s="296" t="s">
        <v>60</v>
      </c>
      <c r="M117" s="16"/>
      <c r="N117" s="16"/>
      <c r="O117" s="16"/>
    </row>
    <row r="118" ht="15" outlineLevel="2" s="14" customFormat="1">
      <c r="A118" s="18"/>
      <c r="B118" s="17"/>
      <c r="C118" s="16"/>
      <c r="D118" s="16"/>
      <c r="E118" s="16"/>
      <c r="F118" s="196"/>
      <c r="G118" s="200"/>
      <c r="H118" s="17"/>
      <c r="I118" s="255"/>
      <c r="J118" s="255"/>
      <c r="K118" s="295" t="s">
        <v>60</v>
      </c>
      <c r="L118" s="295" t="s">
        <v>60</v>
      </c>
      <c r="M118" s="16"/>
      <c r="N118" s="16"/>
      <c r="O118" s="16"/>
    </row>
    <row r="119" ht="26.4" outlineLevel="1" s="14" customFormat="1">
      <c r="A119" s="18" t="s">
        <v>529</v>
      </c>
      <c r="B119" s="17" t="s">
        <v>607</v>
      </c>
      <c r="C119" s="16"/>
      <c r="D119" s="16"/>
      <c r="E119" s="16"/>
      <c r="F119" s="196" t="s">
        <v>608</v>
      </c>
      <c r="G119" s="201" t="s">
        <v>609</v>
      </c>
      <c r="H119" s="17"/>
      <c r="I119" s="255"/>
      <c r="J119" s="255"/>
      <c r="K119" s="295" t="s">
        <v>60</v>
      </c>
      <c r="L119" s="296" t="s">
        <v>60</v>
      </c>
      <c r="M119" s="16"/>
      <c r="N119" s="16"/>
      <c r="O119" s="16"/>
    </row>
    <row r="120" outlineLevel="1" s="197" customFormat="1">
      <c r="A120" s="18"/>
      <c r="B120" s="17"/>
      <c r="C120" s="199"/>
      <c r="D120" s="199"/>
      <c r="E120" s="199"/>
      <c r="F120" s="196"/>
      <c r="G120" s="201"/>
      <c r="H120" s="18"/>
      <c r="I120" s="255" t="s">
        <v>130</v>
      </c>
      <c r="J120" s="231" t="s">
        <v>134</v>
      </c>
      <c r="K120" s="295" t="s">
        <v>60</v>
      </c>
      <c r="L120" s="295" t="s">
        <v>60</v>
      </c>
      <c r="M120" s="199"/>
      <c r="N120" s="199"/>
      <c r="O120" s="199"/>
    </row>
    <row r="121" ht="15" outlineLevel="2" s="14" customFormat="1">
      <c r="A121" s="18"/>
      <c r="B121" s="17"/>
      <c r="C121" s="16"/>
      <c r="D121" s="16"/>
      <c r="E121" s="16"/>
      <c r="F121" s="196"/>
      <c r="G121" s="200"/>
      <c r="H121" s="18" t="s">
        <v>91</v>
      </c>
      <c r="I121" s="287" t="s">
        <v>130</v>
      </c>
      <c r="J121" s="255" t="s">
        <v>410</v>
      </c>
      <c r="K121" s="295" t="s">
        <v>60</v>
      </c>
      <c r="L121" s="296" t="s">
        <v>60</v>
      </c>
      <c r="M121" s="16"/>
      <c r="N121" s="16"/>
      <c r="O121" s="16"/>
    </row>
    <row r="122" ht="15" outlineLevel="2" s="197" customFormat="1">
      <c r="A122" s="18"/>
      <c r="B122" s="17"/>
      <c r="C122" s="199"/>
      <c r="D122" s="199"/>
      <c r="E122" s="199"/>
      <c r="F122" s="196"/>
      <c r="G122" s="200"/>
      <c r="H122" s="18"/>
      <c r="I122" s="255" t="s">
        <v>130</v>
      </c>
      <c r="J122" s="231" t="s">
        <v>403</v>
      </c>
      <c r="K122" s="295" t="s">
        <v>60</v>
      </c>
      <c r="L122" s="295" t="s">
        <v>60</v>
      </c>
      <c r="M122" s="199"/>
      <c r="N122" s="199"/>
      <c r="O122" s="199"/>
    </row>
    <row r="123" outlineLevel="2" s="197" customFormat="1">
      <c r="A123" s="18"/>
      <c r="B123" s="17"/>
      <c r="C123" s="199"/>
      <c r="D123" s="199"/>
      <c r="E123" s="195"/>
      <c r="F123" s="87"/>
      <c r="G123" s="201"/>
      <c r="H123" s="18" t="s">
        <v>91</v>
      </c>
      <c r="I123" s="256" t="s">
        <v>349</v>
      </c>
      <c r="J123" s="255" t="s">
        <v>563</v>
      </c>
      <c r="K123" s="295" t="s">
        <v>60</v>
      </c>
      <c r="L123" s="296" t="s">
        <v>60</v>
      </c>
      <c r="M123" s="199"/>
      <c r="N123" s="199"/>
      <c r="O123" s="199"/>
    </row>
    <row r="124" ht="15" outlineLevel="2" s="14" customFormat="1">
      <c r="A124" s="18"/>
      <c r="B124" s="17"/>
      <c r="C124" s="16"/>
      <c r="D124" s="16"/>
      <c r="E124" s="16"/>
      <c r="F124" s="196"/>
      <c r="G124" s="200"/>
      <c r="H124" s="18" t="s">
        <v>91</v>
      </c>
      <c r="I124" s="255" t="s">
        <v>336</v>
      </c>
      <c r="J124" s="255">
        <v>60000</v>
      </c>
      <c r="K124" s="295" t="s">
        <v>60</v>
      </c>
      <c r="L124" s="296" t="s">
        <v>60</v>
      </c>
      <c r="M124" s="16"/>
      <c r="N124" s="16"/>
      <c r="O124" s="16"/>
    </row>
    <row r="125" outlineLevel="2" s="197" customFormat="1">
      <c r="A125" s="18"/>
      <c r="B125" s="17"/>
      <c r="C125" s="199"/>
      <c r="D125" s="199"/>
      <c r="E125" s="195"/>
      <c r="F125" s="87"/>
      <c r="G125" s="201"/>
      <c r="H125" s="18" t="s">
        <v>91</v>
      </c>
      <c r="I125" s="256" t="s">
        <v>349</v>
      </c>
      <c r="J125" s="255" t="s">
        <v>540</v>
      </c>
      <c r="K125" s="295" t="s">
        <v>60</v>
      </c>
      <c r="L125" s="296" t="s">
        <v>60</v>
      </c>
      <c r="M125" s="199"/>
      <c r="N125" s="199"/>
      <c r="O125" s="199"/>
    </row>
    <row r="126" outlineLevel="2" s="14" customFormat="1">
      <c r="A126" s="18"/>
      <c r="B126" s="17"/>
      <c r="C126" s="16"/>
      <c r="D126" s="16"/>
      <c r="E126" s="195"/>
      <c r="F126" s="87"/>
      <c r="G126" s="201"/>
      <c r="H126" s="18" t="s">
        <v>91</v>
      </c>
      <c r="I126" s="16" t="s">
        <v>541</v>
      </c>
      <c r="J126" s="255" t="s">
        <v>610</v>
      </c>
      <c r="K126" s="295" t="s">
        <v>60</v>
      </c>
      <c r="L126" s="296" t="s">
        <v>60</v>
      </c>
      <c r="M126" s="16"/>
      <c r="N126" s="16"/>
      <c r="O126" s="16"/>
    </row>
    <row r="127" ht="15" outlineLevel="2" s="14" customFormat="1">
      <c r="A127" s="18"/>
      <c r="B127" s="17"/>
      <c r="C127" s="16"/>
      <c r="D127" s="16"/>
      <c r="E127" s="16"/>
      <c r="F127" s="196"/>
      <c r="G127" s="200"/>
      <c r="H127" s="17"/>
      <c r="I127" s="255"/>
      <c r="J127" s="255"/>
      <c r="K127" s="295" t="s">
        <v>60</v>
      </c>
      <c r="L127" s="295" t="s">
        <v>60</v>
      </c>
      <c r="M127" s="16"/>
      <c r="N127" s="16"/>
      <c r="O127" s="16"/>
    </row>
    <row r="128" ht="15" outlineLevel="1" s="14" customFormat="1">
      <c r="A128" s="18" t="s">
        <v>529</v>
      </c>
      <c r="B128" s="17" t="s">
        <v>611</v>
      </c>
      <c r="C128" s="16"/>
      <c r="D128" s="16"/>
      <c r="E128" s="16"/>
      <c r="F128" s="196" t="s">
        <v>612</v>
      </c>
      <c r="G128" s="200" t="s">
        <v>601</v>
      </c>
      <c r="H128" s="17"/>
      <c r="I128" s="255"/>
      <c r="J128" s="255"/>
      <c r="K128" s="295" t="s">
        <v>60</v>
      </c>
      <c r="L128" s="296" t="s">
        <v>60</v>
      </c>
      <c r="M128" s="16"/>
      <c r="N128" s="16"/>
      <c r="O128" s="16"/>
    </row>
    <row r="129" ht="15" outlineLevel="2" s="14" customFormat="1">
      <c r="A129" s="18"/>
      <c r="B129" s="17"/>
      <c r="C129" s="16"/>
      <c r="D129" s="16"/>
      <c r="E129" s="16"/>
      <c r="F129" s="196"/>
      <c r="G129" s="200"/>
      <c r="H129" s="18" t="s">
        <v>91</v>
      </c>
      <c r="I129" s="255" t="s">
        <v>130</v>
      </c>
      <c r="J129" s="255" t="s">
        <v>421</v>
      </c>
      <c r="K129" s="295" t="s">
        <v>60</v>
      </c>
      <c r="L129" s="296" t="s">
        <v>60</v>
      </c>
      <c r="M129" s="16"/>
      <c r="N129" s="16"/>
      <c r="O129" s="16"/>
    </row>
    <row r="130" outlineLevel="2" s="14" customFormat="1">
      <c r="A130" s="18"/>
      <c r="B130" s="17"/>
      <c r="C130" s="16"/>
      <c r="D130" s="16"/>
      <c r="E130" s="195"/>
      <c r="F130" s="87"/>
      <c r="G130" s="201"/>
      <c r="H130" s="18" t="s">
        <v>91</v>
      </c>
      <c r="I130" s="16" t="s">
        <v>541</v>
      </c>
      <c r="J130" s="255" t="s">
        <v>602</v>
      </c>
      <c r="K130" s="295" t="s">
        <v>60</v>
      </c>
      <c r="L130" s="296" t="s">
        <v>60</v>
      </c>
      <c r="M130" s="16"/>
      <c r="N130" s="16"/>
      <c r="O130" s="16"/>
    </row>
    <row r="131" ht="15" outlineLevel="2" s="14" customFormat="1">
      <c r="A131" s="18"/>
      <c r="B131" s="17"/>
      <c r="C131" s="16"/>
      <c r="D131" s="16"/>
      <c r="E131" s="16"/>
      <c r="F131" s="196"/>
      <c r="G131" s="200"/>
      <c r="H131" s="17"/>
      <c r="I131" s="255"/>
      <c r="J131" s="255"/>
      <c r="K131" s="295" t="s">
        <v>60</v>
      </c>
      <c r="L131" s="295" t="s">
        <v>60</v>
      </c>
      <c r="M131" s="16"/>
      <c r="N131" s="16"/>
      <c r="O131" s="16"/>
    </row>
    <row r="132" ht="26.4" outlineLevel="1" s="14" customFormat="1">
      <c r="A132" s="18" t="s">
        <v>529</v>
      </c>
      <c r="B132" s="17" t="s">
        <v>613</v>
      </c>
      <c r="C132" s="16"/>
      <c r="D132" s="16"/>
      <c r="E132" s="16"/>
      <c r="F132" s="196" t="s">
        <v>614</v>
      </c>
      <c r="G132" s="285" t="s">
        <v>601</v>
      </c>
      <c r="H132" s="17"/>
      <c r="I132" s="255"/>
      <c r="J132" s="255"/>
      <c r="K132" s="295" t="s">
        <v>60</v>
      </c>
      <c r="L132" s="296" t="s">
        <v>60</v>
      </c>
      <c r="M132" s="16"/>
      <c r="N132" s="16"/>
      <c r="O132" s="16"/>
    </row>
    <row r="133" outlineLevel="1" s="197" customFormat="1">
      <c r="A133" s="18"/>
      <c r="B133" s="17"/>
      <c r="C133" s="199"/>
      <c r="D133" s="199"/>
      <c r="E133" s="199"/>
      <c r="F133" s="196"/>
      <c r="G133" s="201"/>
      <c r="H133" s="18" t="s">
        <v>91</v>
      </c>
      <c r="I133" s="287" t="s">
        <v>130</v>
      </c>
      <c r="J133" s="255" t="s">
        <v>415</v>
      </c>
      <c r="K133" s="295" t="s">
        <v>60</v>
      </c>
      <c r="L133" s="296" t="s">
        <v>60</v>
      </c>
      <c r="M133" s="199"/>
      <c r="N133" s="199"/>
      <c r="O133" s="199"/>
    </row>
    <row r="134" ht="15" outlineLevel="2" s="14" customFormat="1">
      <c r="A134" s="18"/>
      <c r="B134" s="17"/>
      <c r="C134" s="16"/>
      <c r="D134" s="16"/>
      <c r="E134" s="16"/>
      <c r="F134" s="196"/>
      <c r="G134" s="200"/>
      <c r="H134" s="18" t="s">
        <v>91</v>
      </c>
      <c r="I134" s="255" t="s">
        <v>130</v>
      </c>
      <c r="J134" s="231" t="s">
        <v>403</v>
      </c>
      <c r="K134" s="295" t="s">
        <v>60</v>
      </c>
      <c r="L134" s="296" t="s">
        <v>60</v>
      </c>
      <c r="M134" s="16"/>
      <c r="N134" s="16"/>
      <c r="O134" s="16"/>
    </row>
    <row r="135" ht="15" outlineLevel="2" s="14" customFormat="1">
      <c r="A135" s="18"/>
      <c r="B135" s="17"/>
      <c r="C135" s="16"/>
      <c r="D135" s="16"/>
      <c r="E135" s="16"/>
      <c r="F135" s="196"/>
      <c r="G135" s="200"/>
      <c r="H135" s="18" t="s">
        <v>91</v>
      </c>
      <c r="I135" s="255" t="s">
        <v>336</v>
      </c>
      <c r="J135" s="255">
        <v>60000</v>
      </c>
      <c r="K135" s="295" t="s">
        <v>60</v>
      </c>
      <c r="L135" s="296" t="s">
        <v>60</v>
      </c>
      <c r="M135" s="16"/>
      <c r="N135" s="16"/>
      <c r="O135" s="16"/>
    </row>
    <row r="136" outlineLevel="2" s="14" customFormat="1">
      <c r="A136" s="18"/>
      <c r="B136" s="17"/>
      <c r="C136" s="16"/>
      <c r="D136" s="16"/>
      <c r="E136" s="195"/>
      <c r="F136" s="87"/>
      <c r="G136" s="201"/>
      <c r="H136" s="18" t="s">
        <v>91</v>
      </c>
      <c r="I136" s="16" t="s">
        <v>541</v>
      </c>
      <c r="J136" s="271" t="s">
        <v>602</v>
      </c>
      <c r="K136" s="295" t="s">
        <v>60</v>
      </c>
      <c r="L136" s="296" t="s">
        <v>60</v>
      </c>
      <c r="M136" s="16"/>
      <c r="N136" s="16"/>
      <c r="O136" s="16"/>
    </row>
    <row r="137" ht="15" outlineLevel="1" s="14" customFormat="1">
      <c r="A137" s="18" t="s">
        <v>529</v>
      </c>
      <c r="B137" s="17" t="s">
        <v>615</v>
      </c>
      <c r="C137" s="16"/>
      <c r="D137" s="16"/>
      <c r="E137" s="16"/>
      <c r="F137" s="196" t="s">
        <v>616</v>
      </c>
      <c r="G137" s="200" t="s">
        <v>601</v>
      </c>
      <c r="H137" s="17"/>
      <c r="I137" s="255"/>
      <c r="J137" s="255"/>
      <c r="K137" s="295" t="s">
        <v>60</v>
      </c>
      <c r="L137" s="296" t="s">
        <v>60</v>
      </c>
      <c r="M137" s="16"/>
      <c r="N137" s="16"/>
      <c r="O137" s="16"/>
    </row>
    <row r="138" ht="15" outlineLevel="2" s="14" customFormat="1">
      <c r="A138" s="18"/>
      <c r="B138" s="17"/>
      <c r="C138" s="16"/>
      <c r="D138" s="16"/>
      <c r="E138" s="16"/>
      <c r="F138" s="196"/>
      <c r="G138" s="200"/>
      <c r="H138" s="18" t="s">
        <v>91</v>
      </c>
      <c r="I138" s="255" t="s">
        <v>130</v>
      </c>
      <c r="J138" s="255" t="s">
        <v>421</v>
      </c>
      <c r="K138" s="295" t="s">
        <v>60</v>
      </c>
      <c r="L138" s="296" t="s">
        <v>60</v>
      </c>
      <c r="M138" s="16"/>
      <c r="N138" s="16"/>
      <c r="O138" s="16"/>
    </row>
    <row r="139" outlineLevel="2" s="14" customFormat="1">
      <c r="A139" s="18"/>
      <c r="B139" s="17"/>
      <c r="C139" s="16"/>
      <c r="D139" s="16"/>
      <c r="E139" s="195"/>
      <c r="F139" s="87"/>
      <c r="G139" s="201"/>
      <c r="H139" s="18" t="s">
        <v>91</v>
      </c>
      <c r="I139" s="16" t="s">
        <v>541</v>
      </c>
      <c r="J139" s="255" t="s">
        <v>602</v>
      </c>
      <c r="K139" s="295" t="s">
        <v>60</v>
      </c>
      <c r="L139" s="296" t="s">
        <v>60</v>
      </c>
      <c r="M139" s="16"/>
      <c r="N139" s="16"/>
      <c r="O139" s="16"/>
    </row>
    <row r="140" ht="15" outlineLevel="2" s="14" customFormat="1">
      <c r="A140" s="18"/>
      <c r="B140" s="17"/>
      <c r="C140" s="16"/>
      <c r="D140" s="16"/>
      <c r="E140" s="16"/>
      <c r="F140" s="196"/>
      <c r="G140" s="200"/>
      <c r="H140" s="17"/>
      <c r="I140" s="255"/>
      <c r="J140" s="255"/>
      <c r="K140" s="295" t="s">
        <v>60</v>
      </c>
      <c r="L140" s="295" t="s">
        <v>60</v>
      </c>
      <c r="M140" s="16"/>
      <c r="N140" s="16"/>
      <c r="O140" s="16"/>
    </row>
    <row r="141" ht="26.4" outlineLevel="1" s="14" customFormat="1">
      <c r="A141" s="18" t="s">
        <v>529</v>
      </c>
      <c r="B141" s="17" t="s">
        <v>617</v>
      </c>
      <c r="C141" s="16"/>
      <c r="D141" s="16"/>
      <c r="E141" s="16"/>
      <c r="F141" s="196" t="s">
        <v>618</v>
      </c>
      <c r="G141" s="201" t="s">
        <v>619</v>
      </c>
      <c r="H141" s="17"/>
      <c r="I141" s="255"/>
      <c r="J141" s="255"/>
      <c r="K141" s="295" t="s">
        <v>60</v>
      </c>
      <c r="L141" s="296" t="s">
        <v>60</v>
      </c>
      <c r="M141" s="16"/>
      <c r="N141" s="16"/>
      <c r="O141" s="16"/>
    </row>
    <row r="142" ht="15" outlineLevel="2" s="14" customFormat="1">
      <c r="A142" s="18"/>
      <c r="B142" s="17"/>
      <c r="C142" s="16"/>
      <c r="D142" s="16"/>
      <c r="E142" s="16"/>
      <c r="F142" s="196"/>
      <c r="G142" s="200"/>
      <c r="H142" s="18" t="s">
        <v>91</v>
      </c>
      <c r="I142" s="287" t="s">
        <v>130</v>
      </c>
      <c r="J142" s="255" t="s">
        <v>410</v>
      </c>
      <c r="K142" s="295" t="s">
        <v>60</v>
      </c>
      <c r="L142" s="296" t="s">
        <v>60</v>
      </c>
      <c r="M142" s="16"/>
      <c r="N142" s="16"/>
      <c r="O142" s="16"/>
    </row>
    <row r="143" ht="15" outlineLevel="2" s="197" customFormat="1">
      <c r="A143" s="18"/>
      <c r="B143" s="17"/>
      <c r="C143" s="199"/>
      <c r="D143" s="199"/>
      <c r="E143" s="199"/>
      <c r="F143" s="196"/>
      <c r="G143" s="200"/>
      <c r="H143" s="18" t="s">
        <v>91</v>
      </c>
      <c r="I143" s="255" t="s">
        <v>130</v>
      </c>
      <c r="J143" s="231" t="s">
        <v>403</v>
      </c>
      <c r="K143" s="295" t="s">
        <v>60</v>
      </c>
      <c r="L143" s="296" t="s">
        <v>60</v>
      </c>
      <c r="M143" s="199"/>
      <c r="N143" s="199"/>
      <c r="O143" s="199"/>
    </row>
    <row r="144" outlineLevel="2" s="197" customFormat="1">
      <c r="A144" s="18"/>
      <c r="B144" s="17"/>
      <c r="C144" s="199"/>
      <c r="D144" s="199"/>
      <c r="E144" s="195"/>
      <c r="F144" s="87"/>
      <c r="G144" s="201"/>
      <c r="H144" s="18" t="s">
        <v>91</v>
      </c>
      <c r="I144" s="256" t="s">
        <v>349</v>
      </c>
      <c r="J144" s="255" t="s">
        <v>563</v>
      </c>
      <c r="K144" s="295" t="s">
        <v>60</v>
      </c>
      <c r="L144" s="296" t="s">
        <v>60</v>
      </c>
      <c r="M144" s="199"/>
      <c r="N144" s="199"/>
      <c r="O144" s="199"/>
    </row>
    <row r="145" ht="15" outlineLevel="2" s="14" customFormat="1">
      <c r="A145" s="18"/>
      <c r="B145" s="17"/>
      <c r="C145" s="16"/>
      <c r="D145" s="16"/>
      <c r="E145" s="16"/>
      <c r="F145" s="196"/>
      <c r="G145" s="200"/>
      <c r="H145" s="18" t="s">
        <v>91</v>
      </c>
      <c r="I145" s="255" t="s">
        <v>336</v>
      </c>
      <c r="J145" s="255">
        <v>60000</v>
      </c>
      <c r="K145" s="295" t="s">
        <v>60</v>
      </c>
      <c r="L145" s="296" t="s">
        <v>60</v>
      </c>
      <c r="M145" s="16"/>
      <c r="N145" s="16"/>
      <c r="O145" s="16"/>
    </row>
    <row r="146" outlineLevel="2" s="197" customFormat="1">
      <c r="A146" s="18"/>
      <c r="B146" s="17"/>
      <c r="C146" s="199"/>
      <c r="D146" s="199"/>
      <c r="E146" s="195"/>
      <c r="F146" s="87"/>
      <c r="G146" s="201"/>
      <c r="H146" s="18" t="s">
        <v>91</v>
      </c>
      <c r="I146" s="256" t="s">
        <v>349</v>
      </c>
      <c r="J146" s="255" t="s">
        <v>540</v>
      </c>
      <c r="K146" s="295" t="s">
        <v>60</v>
      </c>
      <c r="L146" s="296" t="s">
        <v>60</v>
      </c>
      <c r="M146" s="199"/>
      <c r="N146" s="199"/>
      <c r="O146" s="199"/>
    </row>
    <row r="147" outlineLevel="2" s="14" customFormat="1">
      <c r="A147" s="18"/>
      <c r="B147" s="17"/>
      <c r="C147" s="16"/>
      <c r="D147" s="16"/>
      <c r="E147" s="195"/>
      <c r="F147" s="87"/>
      <c r="G147" s="201"/>
      <c r="H147" s="18" t="s">
        <v>91</v>
      </c>
      <c r="I147" s="16" t="s">
        <v>541</v>
      </c>
      <c r="J147" s="255" t="s">
        <v>620</v>
      </c>
      <c r="K147" s="295" t="s">
        <v>60</v>
      </c>
      <c r="L147" s="296" t="s">
        <v>60</v>
      </c>
      <c r="M147" s="16"/>
      <c r="N147" s="16"/>
      <c r="O147" s="16"/>
    </row>
    <row r="148" outlineLevel="1" s="14" customFormat="1">
      <c r="A148" s="18"/>
      <c r="B148" s="17"/>
      <c r="C148" s="16"/>
      <c r="D148" s="16"/>
      <c r="E148" s="16"/>
      <c r="F148" s="195"/>
      <c r="G148" s="195"/>
      <c r="H148" s="17"/>
      <c r="I148" s="255"/>
      <c r="J148" s="255"/>
      <c r="K148" s="295" t="s">
        <v>60</v>
      </c>
      <c r="L148" s="295" t="s">
        <v>60</v>
      </c>
      <c r="M148" s="16"/>
      <c r="N148" s="16"/>
      <c r="O148" s="16"/>
    </row>
    <row r="149" s="193" customFormat="1">
      <c r="A149" s="191" t="s">
        <v>529</v>
      </c>
      <c r="B149" s="250" t="s">
        <v>621</v>
      </c>
      <c r="C149" s="192"/>
      <c r="D149" s="192"/>
      <c r="E149" s="192"/>
      <c r="F149" s="198"/>
      <c r="G149" s="192"/>
      <c r="H149" s="253"/>
      <c r="I149" s="254"/>
      <c r="J149" s="254"/>
      <c r="K149" s="293" t="s">
        <v>60</v>
      </c>
      <c r="L149" s="295" t="s">
        <v>60</v>
      </c>
      <c r="M149" s="192"/>
      <c r="N149" s="192"/>
      <c r="O149" s="192"/>
    </row>
    <row r="150" ht="43.8" outlineLevel="1">
      <c r="A150" s="18" t="s">
        <v>529</v>
      </c>
      <c r="B150" s="17" t="s">
        <v>622</v>
      </c>
      <c r="C150" s="16"/>
      <c r="D150" s="16" t="s">
        <v>534</v>
      </c>
      <c r="E150" s="195" t="s">
        <v>579</v>
      </c>
      <c r="F150" s="195" t="s">
        <v>580</v>
      </c>
      <c r="G150" s="201" t="s">
        <v>597</v>
      </c>
      <c r="H150" s="17"/>
      <c r="I150" s="255"/>
      <c r="J150" s="255"/>
      <c r="K150" s="295" t="s">
        <v>60</v>
      </c>
      <c r="L150" s="296" t="s">
        <v>60</v>
      </c>
      <c r="M150" s="16"/>
      <c r="N150" s="16"/>
      <c r="O150" s="16"/>
    </row>
    <row r="151" outlineLevel="2" s="14" customFormat="1">
      <c r="A151" s="18"/>
      <c r="B151" s="17"/>
      <c r="C151" s="16"/>
      <c r="D151" s="16"/>
      <c r="E151" s="195"/>
      <c r="F151" s="87"/>
      <c r="G151" s="201"/>
      <c r="H151" s="18" t="s">
        <v>91</v>
      </c>
      <c r="I151" s="256" t="s">
        <v>349</v>
      </c>
      <c r="J151" s="255" t="s">
        <v>406</v>
      </c>
      <c r="K151" s="295" t="s">
        <v>60</v>
      </c>
      <c r="L151" s="296" t="s">
        <v>60</v>
      </c>
      <c r="M151" s="16"/>
      <c r="N151" s="16"/>
      <c r="O151" s="16"/>
    </row>
    <row r="152" outlineLevel="2" s="14" customFormat="1">
      <c r="A152" s="18"/>
      <c r="B152" s="17"/>
      <c r="C152" s="16"/>
      <c r="D152" s="16"/>
      <c r="E152" s="195"/>
      <c r="F152" s="87"/>
      <c r="G152" s="201"/>
      <c r="H152" s="18" t="s">
        <v>91</v>
      </c>
      <c r="I152" s="255" t="s">
        <v>336</v>
      </c>
      <c r="J152" s="255">
        <v>2000</v>
      </c>
      <c r="K152" s="295" t="s">
        <v>60</v>
      </c>
      <c r="L152" s="296" t="s">
        <v>60</v>
      </c>
      <c r="M152" s="16"/>
      <c r="N152" s="16"/>
      <c r="O152" s="16"/>
    </row>
    <row r="153" outlineLevel="2" s="197" customFormat="1">
      <c r="A153" s="18"/>
      <c r="B153" s="17"/>
      <c r="C153" s="199"/>
      <c r="D153" s="199"/>
      <c r="E153" s="195"/>
      <c r="F153" s="87"/>
      <c r="G153" s="201"/>
      <c r="H153" s="18" t="s">
        <v>91</v>
      </c>
      <c r="I153" s="256" t="s">
        <v>349</v>
      </c>
      <c r="J153" s="255" t="s">
        <v>407</v>
      </c>
      <c r="K153" s="295" t="s">
        <v>60</v>
      </c>
      <c r="L153" s="296" t="s">
        <v>60</v>
      </c>
      <c r="M153" s="199"/>
      <c r="N153" s="199"/>
      <c r="O153" s="199"/>
    </row>
    <row r="154" outlineLevel="2" s="14" customFormat="1">
      <c r="A154" s="18"/>
      <c r="B154" s="17"/>
      <c r="C154" s="16"/>
      <c r="D154" s="16"/>
      <c r="E154" s="195"/>
      <c r="F154" s="87"/>
      <c r="G154" s="201"/>
      <c r="H154" s="18" t="s">
        <v>91</v>
      </c>
      <c r="I154" s="256" t="s">
        <v>349</v>
      </c>
      <c r="J154" s="255" t="s">
        <v>539</v>
      </c>
      <c r="K154" s="295" t="s">
        <v>60</v>
      </c>
      <c r="L154" s="296" t="s">
        <v>60</v>
      </c>
      <c r="M154" s="16"/>
      <c r="N154" s="16"/>
      <c r="O154" s="16"/>
    </row>
    <row r="155" outlineLevel="2" s="14" customFormat="1">
      <c r="A155" s="18"/>
      <c r="B155" s="17"/>
      <c r="C155" s="16"/>
      <c r="D155" s="16"/>
      <c r="E155" s="195"/>
      <c r="F155" s="87"/>
      <c r="G155" s="201"/>
      <c r="H155" s="18" t="s">
        <v>91</v>
      </c>
      <c r="I155" s="256" t="s">
        <v>349</v>
      </c>
      <c r="J155" s="255" t="s">
        <v>563</v>
      </c>
      <c r="K155" s="295" t="s">
        <v>60</v>
      </c>
      <c r="L155" s="296" t="s">
        <v>60</v>
      </c>
      <c r="M155" s="16"/>
      <c r="N155" s="16"/>
      <c r="O155" s="16"/>
    </row>
    <row r="156" outlineLevel="2" s="14" customFormat="1">
      <c r="A156" s="18"/>
      <c r="B156" s="17"/>
      <c r="C156" s="16"/>
      <c r="D156" s="16"/>
      <c r="E156" s="195"/>
      <c r="F156" s="87"/>
      <c r="G156" s="201"/>
      <c r="H156" s="18" t="s">
        <v>91</v>
      </c>
      <c r="I156" s="255" t="s">
        <v>336</v>
      </c>
      <c r="J156" s="255">
        <v>60000</v>
      </c>
      <c r="K156" s="295" t="s">
        <v>60</v>
      </c>
      <c r="L156" s="296" t="s">
        <v>60</v>
      </c>
      <c r="M156" s="16"/>
      <c r="N156" s="16"/>
      <c r="O156" s="16"/>
    </row>
    <row r="157" outlineLevel="2" s="197" customFormat="1">
      <c r="A157" s="18"/>
      <c r="B157" s="17"/>
      <c r="C157" s="199"/>
      <c r="D157" s="199"/>
      <c r="E157" s="195"/>
      <c r="F157" s="87"/>
      <c r="G157" s="201"/>
      <c r="H157" s="18" t="s">
        <v>91</v>
      </c>
      <c r="I157" s="256" t="s">
        <v>349</v>
      </c>
      <c r="J157" s="255" t="s">
        <v>540</v>
      </c>
      <c r="K157" s="295" t="s">
        <v>60</v>
      </c>
      <c r="L157" s="296" t="s">
        <v>60</v>
      </c>
      <c r="M157" s="199"/>
      <c r="N157" s="199"/>
      <c r="O157" s="199"/>
    </row>
    <row r="158" outlineLevel="2" s="14" customFormat="1">
      <c r="A158" s="18"/>
      <c r="B158" s="17"/>
      <c r="C158" s="16"/>
      <c r="D158" s="16"/>
      <c r="E158" s="195"/>
      <c r="F158" s="87"/>
      <c r="G158" s="201"/>
      <c r="H158" s="18" t="s">
        <v>91</v>
      </c>
      <c r="I158" s="16" t="s">
        <v>541</v>
      </c>
      <c r="J158" s="255" t="s">
        <v>598</v>
      </c>
      <c r="K158" s="295" t="s">
        <v>60</v>
      </c>
      <c r="L158" s="296" t="s">
        <v>60</v>
      </c>
      <c r="M158" s="16"/>
      <c r="N158" s="16"/>
      <c r="O158" s="16"/>
    </row>
    <row r="159" outlineLevel="2" s="14" customFormat="1">
      <c r="A159" s="18"/>
      <c r="B159" s="17"/>
      <c r="C159" s="16"/>
      <c r="D159" s="16"/>
      <c r="E159" s="195"/>
      <c r="F159" s="87"/>
      <c r="G159" s="201"/>
      <c r="H159" s="18"/>
      <c r="I159" s="16"/>
      <c r="J159" s="255"/>
      <c r="K159" s="295" t="s">
        <v>60</v>
      </c>
      <c r="L159" s="295" t="s">
        <v>60</v>
      </c>
      <c r="M159" s="16"/>
      <c r="N159" s="16"/>
      <c r="O159" s="16"/>
    </row>
    <row r="160" outlineLevel="1">
      <c r="A160" s="18" t="s">
        <v>529</v>
      </c>
      <c r="B160" s="17" t="s">
        <v>623</v>
      </c>
      <c r="C160" s="16"/>
      <c r="D160" s="16"/>
      <c r="E160" s="16"/>
      <c r="F160" s="199" t="s">
        <v>624</v>
      </c>
      <c r="G160" s="201" t="s">
        <v>597</v>
      </c>
      <c r="H160" s="17"/>
      <c r="I160" s="255"/>
      <c r="J160" s="255"/>
      <c r="K160" s="295" t="s">
        <v>60</v>
      </c>
      <c r="L160" s="296" t="s">
        <v>60</v>
      </c>
      <c r="M160" s="16"/>
      <c r="N160" s="16"/>
      <c r="O160" s="16"/>
    </row>
    <row r="161" outlineLevel="2" s="14" customFormat="1">
      <c r="A161" s="18"/>
      <c r="B161" s="17"/>
      <c r="C161" s="16"/>
      <c r="D161" s="16"/>
      <c r="E161" s="16"/>
      <c r="F161" s="199"/>
      <c r="G161" s="201"/>
      <c r="H161" s="18" t="s">
        <v>91</v>
      </c>
      <c r="I161" s="255" t="s">
        <v>242</v>
      </c>
      <c r="J161" s="255" t="s">
        <v>625</v>
      </c>
      <c r="K161" s="295" t="s">
        <v>60</v>
      </c>
      <c r="L161" s="296" t="s">
        <v>60</v>
      </c>
      <c r="M161" s="16"/>
      <c r="N161" s="16"/>
      <c r="O161" s="16"/>
    </row>
    <row r="162" outlineLevel="2" s="14" customFormat="1">
      <c r="A162" s="18"/>
      <c r="B162" s="17"/>
      <c r="C162" s="16"/>
      <c r="D162" s="16"/>
      <c r="E162" s="16"/>
      <c r="F162" s="199"/>
      <c r="G162" s="201"/>
      <c r="H162" s="18" t="s">
        <v>91</v>
      </c>
      <c r="I162" s="255" t="s">
        <v>336</v>
      </c>
      <c r="J162" s="255">
        <v>1000</v>
      </c>
      <c r="K162" s="295" t="s">
        <v>60</v>
      </c>
      <c r="L162" s="296" t="s">
        <v>60</v>
      </c>
      <c r="M162" s="16"/>
      <c r="N162" s="16"/>
      <c r="O162" s="16"/>
    </row>
    <row r="163" outlineLevel="2" s="14" customFormat="1">
      <c r="A163" s="18"/>
      <c r="B163" s="17"/>
      <c r="C163" s="16"/>
      <c r="D163" s="16"/>
      <c r="E163" s="16"/>
      <c r="F163" s="199"/>
      <c r="G163" s="201"/>
      <c r="H163" s="18" t="s">
        <v>91</v>
      </c>
      <c r="I163" s="256" t="s">
        <v>349</v>
      </c>
      <c r="J163" s="255" t="s">
        <v>540</v>
      </c>
      <c r="K163" s="295" t="s">
        <v>60</v>
      </c>
      <c r="L163" s="296" t="s">
        <v>60</v>
      </c>
      <c r="M163" s="16"/>
      <c r="N163" s="16"/>
      <c r="O163" s="16"/>
    </row>
    <row r="164" outlineLevel="2" s="14" customFormat="1">
      <c r="A164" s="18"/>
      <c r="B164" s="17"/>
      <c r="C164" s="16"/>
      <c r="D164" s="16"/>
      <c r="E164" s="16"/>
      <c r="F164" s="199"/>
      <c r="G164" s="201"/>
      <c r="H164" s="18" t="s">
        <v>91</v>
      </c>
      <c r="I164" s="16" t="s">
        <v>541</v>
      </c>
      <c r="J164" s="255" t="s">
        <v>598</v>
      </c>
      <c r="K164" s="295" t="s">
        <v>60</v>
      </c>
      <c r="L164" s="296" t="s">
        <v>60</v>
      </c>
      <c r="M164" s="16"/>
      <c r="N164" s="16"/>
      <c r="O164" s="16"/>
    </row>
    <row r="165" outlineLevel="2" s="14" customFormat="1">
      <c r="A165" s="18"/>
      <c r="B165" s="17"/>
      <c r="C165" s="16"/>
      <c r="D165" s="16"/>
      <c r="E165" s="16"/>
      <c r="F165" s="199"/>
      <c r="G165" s="201"/>
      <c r="H165" s="17"/>
      <c r="I165" s="255"/>
      <c r="J165" s="255"/>
      <c r="K165" s="295" t="s">
        <v>60</v>
      </c>
      <c r="L165" s="295" t="s">
        <v>60</v>
      </c>
      <c r="M165" s="16"/>
      <c r="N165" s="16"/>
      <c r="O165" s="16"/>
    </row>
    <row r="166" ht="28.8" outlineLevel="1">
      <c r="A166" s="18" t="s">
        <v>529</v>
      </c>
      <c r="B166" s="17" t="s">
        <v>626</v>
      </c>
      <c r="C166" s="16"/>
      <c r="D166" s="16"/>
      <c r="E166" s="16"/>
      <c r="F166" s="87" t="s">
        <v>627</v>
      </c>
      <c r="G166" s="201" t="s">
        <v>609</v>
      </c>
      <c r="H166" s="17"/>
      <c r="I166" s="255"/>
      <c r="J166" s="255"/>
      <c r="K166" s="295" t="s">
        <v>60</v>
      </c>
      <c r="L166" s="296" t="s">
        <v>60</v>
      </c>
      <c r="M166" s="16"/>
      <c r="N166" s="16"/>
      <c r="O166" s="16"/>
    </row>
    <row r="167" outlineLevel="2" s="14" customFormat="1">
      <c r="A167" s="18"/>
      <c r="B167" s="17"/>
      <c r="C167" s="16"/>
      <c r="D167" s="16"/>
      <c r="E167" s="16"/>
      <c r="F167" s="87"/>
      <c r="G167" s="201"/>
      <c r="H167" s="18" t="s">
        <v>91</v>
      </c>
      <c r="I167" s="256" t="s">
        <v>349</v>
      </c>
      <c r="J167" s="255" t="s">
        <v>563</v>
      </c>
      <c r="K167" s="295" t="s">
        <v>60</v>
      </c>
      <c r="L167" s="296" t="s">
        <v>60</v>
      </c>
      <c r="M167" s="16"/>
      <c r="N167" s="16"/>
      <c r="O167" s="16"/>
    </row>
    <row r="168" outlineLevel="2" s="14" customFormat="1">
      <c r="A168" s="18"/>
      <c r="B168" s="17"/>
      <c r="C168" s="16"/>
      <c r="D168" s="16"/>
      <c r="E168" s="16"/>
      <c r="F168" s="87"/>
      <c r="G168" s="201"/>
      <c r="H168" s="18" t="s">
        <v>91</v>
      </c>
      <c r="I168" s="255" t="s">
        <v>336</v>
      </c>
      <c r="J168" s="255">
        <v>60000</v>
      </c>
      <c r="K168" s="295" t="s">
        <v>60</v>
      </c>
      <c r="L168" s="296" t="s">
        <v>60</v>
      </c>
      <c r="M168" s="16"/>
      <c r="N168" s="16"/>
      <c r="O168" s="16"/>
    </row>
    <row r="169" outlineLevel="2" s="197" customFormat="1">
      <c r="A169" s="18"/>
      <c r="B169" s="17"/>
      <c r="C169" s="199"/>
      <c r="D169" s="199"/>
      <c r="E169" s="195"/>
      <c r="F169" s="87"/>
      <c r="G169" s="201"/>
      <c r="H169" s="18" t="s">
        <v>91</v>
      </c>
      <c r="I169" s="256" t="s">
        <v>349</v>
      </c>
      <c r="J169" s="255" t="s">
        <v>540</v>
      </c>
      <c r="K169" s="295" t="s">
        <v>60</v>
      </c>
      <c r="L169" s="296" t="s">
        <v>60</v>
      </c>
      <c r="M169" s="199"/>
      <c r="N169" s="199"/>
      <c r="O169" s="199"/>
    </row>
    <row r="170" outlineLevel="2" s="14" customFormat="1">
      <c r="A170" s="18"/>
      <c r="B170" s="17"/>
      <c r="C170" s="16"/>
      <c r="D170" s="16"/>
      <c r="E170" s="16"/>
      <c r="F170" s="87"/>
      <c r="G170" s="201"/>
      <c r="H170" s="18" t="s">
        <v>91</v>
      </c>
      <c r="I170" s="16" t="s">
        <v>541</v>
      </c>
      <c r="J170" s="255" t="s">
        <v>610</v>
      </c>
      <c r="K170" s="295" t="s">
        <v>60</v>
      </c>
      <c r="L170" s="296" t="s">
        <v>60</v>
      </c>
      <c r="M170" s="16"/>
      <c r="N170" s="16"/>
      <c r="O170" s="16"/>
    </row>
    <row r="171" outlineLevel="2" s="14" customFormat="1">
      <c r="A171" s="18"/>
      <c r="B171" s="17"/>
      <c r="C171" s="16"/>
      <c r="D171" s="16"/>
      <c r="E171" s="16"/>
      <c r="F171" s="87"/>
      <c r="G171" s="201"/>
      <c r="H171" s="17"/>
      <c r="I171" s="255"/>
      <c r="J171" s="255"/>
      <c r="K171" s="295" t="s">
        <v>60</v>
      </c>
      <c r="L171" s="295" t="s">
        <v>60</v>
      </c>
      <c r="M171" s="16"/>
      <c r="N171" s="16"/>
      <c r="O171" s="16"/>
    </row>
    <row r="172" ht="43.8" outlineLevel="1" s="14" customFormat="1">
      <c r="A172" s="18" t="s">
        <v>529</v>
      </c>
      <c r="B172" s="17" t="s">
        <v>628</v>
      </c>
      <c r="C172" s="16"/>
      <c r="D172" s="16" t="s">
        <v>534</v>
      </c>
      <c r="E172" s="195" t="s">
        <v>579</v>
      </c>
      <c r="F172" s="195" t="s">
        <v>580</v>
      </c>
      <c r="G172" s="201" t="s">
        <v>597</v>
      </c>
      <c r="H172" s="17"/>
      <c r="I172" s="255"/>
      <c r="J172" s="255"/>
      <c r="K172" s="295" t="s">
        <v>60</v>
      </c>
      <c r="L172" s="296" t="s">
        <v>60</v>
      </c>
      <c r="M172" s="16"/>
      <c r="N172" s="16"/>
      <c r="O172" s="16"/>
    </row>
    <row r="173" outlineLevel="2" s="14" customFormat="1">
      <c r="A173" s="18"/>
      <c r="B173" s="17"/>
      <c r="C173" s="16"/>
      <c r="D173" s="16"/>
      <c r="E173" s="195"/>
      <c r="F173" s="87"/>
      <c r="G173" s="201"/>
      <c r="H173" s="18" t="s">
        <v>91</v>
      </c>
      <c r="I173" s="256" t="s">
        <v>349</v>
      </c>
      <c r="J173" s="255" t="s">
        <v>406</v>
      </c>
      <c r="K173" s="295" t="s">
        <v>60</v>
      </c>
      <c r="L173" s="296" t="s">
        <v>60</v>
      </c>
      <c r="M173" s="16"/>
      <c r="N173" s="16"/>
      <c r="O173" s="16"/>
    </row>
    <row r="174" outlineLevel="2" s="14" customFormat="1">
      <c r="A174" s="18"/>
      <c r="B174" s="17"/>
      <c r="C174" s="16"/>
      <c r="D174" s="16"/>
      <c r="E174" s="195"/>
      <c r="F174" s="87"/>
      <c r="G174" s="201"/>
      <c r="H174" s="18" t="s">
        <v>91</v>
      </c>
      <c r="I174" s="255" t="s">
        <v>336</v>
      </c>
      <c r="J174" s="255">
        <v>2000</v>
      </c>
      <c r="K174" s="295" t="s">
        <v>60</v>
      </c>
      <c r="L174" s="296" t="s">
        <v>60</v>
      </c>
      <c r="M174" s="16"/>
      <c r="N174" s="16"/>
      <c r="O174" s="16"/>
    </row>
    <row r="175" outlineLevel="2" s="197" customFormat="1">
      <c r="A175" s="18"/>
      <c r="B175" s="17"/>
      <c r="C175" s="199"/>
      <c r="D175" s="199"/>
      <c r="E175" s="195"/>
      <c r="F175" s="87"/>
      <c r="G175" s="201"/>
      <c r="H175" s="18" t="s">
        <v>91</v>
      </c>
      <c r="I175" s="256" t="s">
        <v>349</v>
      </c>
      <c r="J175" s="255" t="s">
        <v>407</v>
      </c>
      <c r="K175" s="295" t="s">
        <v>60</v>
      </c>
      <c r="L175" s="296" t="s">
        <v>60</v>
      </c>
      <c r="M175" s="199"/>
      <c r="N175" s="199"/>
      <c r="O175" s="199"/>
    </row>
    <row r="176" outlineLevel="2" s="14" customFormat="1">
      <c r="A176" s="18"/>
      <c r="B176" s="17"/>
      <c r="C176" s="16"/>
      <c r="D176" s="16"/>
      <c r="E176" s="195"/>
      <c r="F176" s="87"/>
      <c r="G176" s="201"/>
      <c r="H176" s="18" t="s">
        <v>91</v>
      </c>
      <c r="I176" s="256" t="s">
        <v>349</v>
      </c>
      <c r="J176" s="255" t="s">
        <v>539</v>
      </c>
      <c r="K176" s="295" t="s">
        <v>60</v>
      </c>
      <c r="L176" s="296" t="s">
        <v>60</v>
      </c>
      <c r="M176" s="16"/>
      <c r="N176" s="16"/>
      <c r="O176" s="16"/>
    </row>
    <row r="177" outlineLevel="2" s="14" customFormat="1">
      <c r="A177" s="18"/>
      <c r="B177" s="17"/>
      <c r="C177" s="16"/>
      <c r="D177" s="16"/>
      <c r="E177" s="195"/>
      <c r="F177" s="87"/>
      <c r="G177" s="201"/>
      <c r="H177" s="18" t="s">
        <v>91</v>
      </c>
      <c r="I177" s="256" t="s">
        <v>349</v>
      </c>
      <c r="J177" s="255" t="s">
        <v>563</v>
      </c>
      <c r="K177" s="295" t="s">
        <v>60</v>
      </c>
      <c r="L177" s="296" t="s">
        <v>60</v>
      </c>
      <c r="M177" s="16"/>
      <c r="N177" s="16"/>
      <c r="O177" s="16"/>
    </row>
    <row r="178" outlineLevel="2" s="14" customFormat="1">
      <c r="A178" s="18"/>
      <c r="B178" s="17"/>
      <c r="C178" s="16"/>
      <c r="D178" s="16"/>
      <c r="E178" s="195"/>
      <c r="F178" s="87"/>
      <c r="G178" s="201"/>
      <c r="H178" s="18" t="s">
        <v>91</v>
      </c>
      <c r="I178" s="255" t="s">
        <v>336</v>
      </c>
      <c r="J178" s="255">
        <v>60000</v>
      </c>
      <c r="K178" s="295" t="s">
        <v>60</v>
      </c>
      <c r="L178" s="296" t="s">
        <v>60</v>
      </c>
      <c r="M178" s="16"/>
      <c r="N178" s="16"/>
      <c r="O178" s="16"/>
    </row>
    <row r="179" outlineLevel="2" s="197" customFormat="1">
      <c r="A179" s="18"/>
      <c r="B179" s="17"/>
      <c r="C179" s="199"/>
      <c r="D179" s="199"/>
      <c r="E179" s="195"/>
      <c r="F179" s="87"/>
      <c r="G179" s="201"/>
      <c r="H179" s="18" t="s">
        <v>91</v>
      </c>
      <c r="I179" s="256" t="s">
        <v>349</v>
      </c>
      <c r="J179" s="255" t="s">
        <v>540</v>
      </c>
      <c r="K179" s="295" t="s">
        <v>60</v>
      </c>
      <c r="L179" s="296" t="s">
        <v>60</v>
      </c>
      <c r="M179" s="199"/>
      <c r="N179" s="199"/>
      <c r="O179" s="199"/>
    </row>
    <row r="180" outlineLevel="2" s="14" customFormat="1">
      <c r="A180" s="18"/>
      <c r="B180" s="17"/>
      <c r="C180" s="16"/>
      <c r="D180" s="16"/>
      <c r="E180" s="195"/>
      <c r="F180" s="87"/>
      <c r="G180" s="201"/>
      <c r="H180" s="18" t="s">
        <v>91</v>
      </c>
      <c r="I180" s="16" t="s">
        <v>541</v>
      </c>
      <c r="J180" s="255" t="s">
        <v>598</v>
      </c>
      <c r="K180" s="295" t="s">
        <v>60</v>
      </c>
      <c r="L180" s="296" t="s">
        <v>60</v>
      </c>
      <c r="M180" s="16"/>
      <c r="N180" s="16"/>
      <c r="O180" s="16"/>
    </row>
    <row r="181" outlineLevel="2" s="14" customFormat="1">
      <c r="A181" s="18"/>
      <c r="B181" s="17"/>
      <c r="C181" s="16"/>
      <c r="D181" s="16"/>
      <c r="E181" s="195"/>
      <c r="F181" s="87"/>
      <c r="G181" s="201"/>
      <c r="H181" s="18"/>
      <c r="I181" s="16"/>
      <c r="J181" s="255"/>
      <c r="K181" s="295" t="s">
        <v>60</v>
      </c>
      <c r="L181" s="295" t="s">
        <v>60</v>
      </c>
      <c r="M181" s="16"/>
      <c r="N181" s="16"/>
      <c r="O181" s="16"/>
    </row>
    <row r="182" ht="28.8" outlineLevel="1" s="14" customFormat="1">
      <c r="A182" s="18" t="s">
        <v>529</v>
      </c>
      <c r="B182" s="17" t="s">
        <v>629</v>
      </c>
      <c r="C182" s="16"/>
      <c r="D182" s="16"/>
      <c r="E182" s="16"/>
      <c r="F182" s="87" t="s">
        <v>630</v>
      </c>
      <c r="G182" s="201" t="s">
        <v>597</v>
      </c>
      <c r="H182" s="17"/>
      <c r="I182" s="255"/>
      <c r="J182" s="255"/>
      <c r="K182" s="295" t="s">
        <v>60</v>
      </c>
      <c r="L182" s="296" t="s">
        <v>60</v>
      </c>
      <c r="M182" s="16"/>
      <c r="N182" s="16"/>
      <c r="O182" s="16"/>
    </row>
    <row r="183" outlineLevel="2" s="14" customFormat="1">
      <c r="A183" s="18"/>
      <c r="B183" s="17"/>
      <c r="C183" s="16"/>
      <c r="D183" s="16"/>
      <c r="E183" s="195"/>
      <c r="F183" s="87"/>
      <c r="G183" s="201"/>
      <c r="H183" s="18" t="s">
        <v>91</v>
      </c>
      <c r="I183" s="256" t="s">
        <v>349</v>
      </c>
      <c r="J183" s="255" t="s">
        <v>631</v>
      </c>
      <c r="K183" s="295" t="s">
        <v>60</v>
      </c>
      <c r="L183" s="296" t="s">
        <v>60</v>
      </c>
      <c r="M183" s="16"/>
      <c r="N183" s="16"/>
      <c r="O183" s="16"/>
    </row>
    <row r="184" outlineLevel="2" s="14" customFormat="1">
      <c r="A184" s="18"/>
      <c r="B184" s="17"/>
      <c r="C184" s="16"/>
      <c r="D184" s="16"/>
      <c r="E184" s="195"/>
      <c r="F184" s="87"/>
      <c r="G184" s="201"/>
      <c r="H184" s="18" t="s">
        <v>91</v>
      </c>
      <c r="I184" s="255" t="s">
        <v>336</v>
      </c>
      <c r="J184" s="255">
        <v>60000</v>
      </c>
      <c r="K184" s="295" t="s">
        <v>60</v>
      </c>
      <c r="L184" s="296" t="s">
        <v>60</v>
      </c>
      <c r="M184" s="16"/>
      <c r="N184" s="16"/>
      <c r="O184" s="16"/>
    </row>
    <row r="185" outlineLevel="2" s="197" customFormat="1">
      <c r="A185" s="18"/>
      <c r="B185" s="17"/>
      <c r="C185" s="199"/>
      <c r="D185" s="199"/>
      <c r="E185" s="195"/>
      <c r="F185" s="87"/>
      <c r="G185" s="201"/>
      <c r="H185" s="18" t="s">
        <v>91</v>
      </c>
      <c r="I185" s="256" t="s">
        <v>349</v>
      </c>
      <c r="J185" s="255" t="s">
        <v>540</v>
      </c>
      <c r="K185" s="295" t="s">
        <v>60</v>
      </c>
      <c r="L185" s="296" t="s">
        <v>60</v>
      </c>
      <c r="M185" s="199"/>
      <c r="N185" s="199"/>
      <c r="O185" s="199"/>
    </row>
    <row r="186" outlineLevel="2" s="14" customFormat="1">
      <c r="A186" s="18"/>
      <c r="B186" s="17"/>
      <c r="C186" s="16"/>
      <c r="D186" s="16"/>
      <c r="E186" s="195"/>
      <c r="F186" s="87"/>
      <c r="G186" s="201"/>
      <c r="H186" s="18" t="s">
        <v>91</v>
      </c>
      <c r="I186" s="16" t="s">
        <v>541</v>
      </c>
      <c r="J186" s="255" t="s">
        <v>598</v>
      </c>
      <c r="K186" s="295" t="s">
        <v>60</v>
      </c>
      <c r="L186" s="296" t="s">
        <v>60</v>
      </c>
      <c r="M186" s="16"/>
      <c r="N186" s="16"/>
      <c r="O186" s="16"/>
    </row>
    <row r="187" outlineLevel="2" s="14" customFormat="1">
      <c r="A187" s="18"/>
      <c r="B187" s="17"/>
      <c r="C187" s="16"/>
      <c r="D187" s="16"/>
      <c r="E187" s="195"/>
      <c r="F187" s="87"/>
      <c r="G187" s="201"/>
      <c r="H187" s="18"/>
      <c r="I187" s="16"/>
      <c r="J187" s="255"/>
      <c r="K187" s="295" t="s">
        <v>60</v>
      </c>
      <c r="L187" s="295" t="s">
        <v>60</v>
      </c>
      <c r="M187" s="16"/>
      <c r="N187" s="16"/>
      <c r="O187" s="16"/>
    </row>
    <row r="188" ht="28.8" outlineLevel="1" s="14" customFormat="1">
      <c r="A188" s="18" t="s">
        <v>529</v>
      </c>
      <c r="B188" s="17" t="s">
        <v>632</v>
      </c>
      <c r="C188" s="16"/>
      <c r="D188" s="16"/>
      <c r="E188" s="16"/>
      <c r="F188" s="87" t="s">
        <v>633</v>
      </c>
      <c r="G188" s="201" t="s">
        <v>557</v>
      </c>
      <c r="H188" s="17"/>
      <c r="I188" s="255"/>
      <c r="J188" s="255"/>
      <c r="K188" s="295" t="s">
        <v>60</v>
      </c>
      <c r="L188" s="296" t="s">
        <v>60</v>
      </c>
      <c r="M188" s="16"/>
      <c r="N188" s="16"/>
      <c r="O188" s="16"/>
    </row>
    <row r="189" outlineLevel="2" s="14" customFormat="1">
      <c r="A189" s="18"/>
      <c r="B189" s="17"/>
      <c r="C189" s="16"/>
      <c r="D189" s="16"/>
      <c r="E189" s="195"/>
      <c r="F189" s="87"/>
      <c r="G189" s="201"/>
      <c r="H189" s="18" t="s">
        <v>91</v>
      </c>
      <c r="I189" s="256" t="s">
        <v>349</v>
      </c>
      <c r="J189" s="255" t="s">
        <v>553</v>
      </c>
      <c r="K189" s="295" t="s">
        <v>60</v>
      </c>
      <c r="L189" s="296" t="s">
        <v>60</v>
      </c>
      <c r="M189" s="16"/>
      <c r="N189" s="16"/>
      <c r="O189" s="16"/>
    </row>
    <row r="190" outlineLevel="2" s="14" customFormat="1">
      <c r="A190" s="18"/>
      <c r="B190" s="17"/>
      <c r="C190" s="16"/>
      <c r="D190" s="16"/>
      <c r="E190" s="195"/>
      <c r="F190" s="87"/>
      <c r="G190" s="201"/>
      <c r="H190" s="18" t="s">
        <v>91</v>
      </c>
      <c r="I190" s="255" t="s">
        <v>336</v>
      </c>
      <c r="J190" s="255">
        <v>60000</v>
      </c>
      <c r="K190" s="295" t="s">
        <v>60</v>
      </c>
      <c r="L190" s="296" t="s">
        <v>60</v>
      </c>
      <c r="M190" s="16"/>
      <c r="N190" s="16"/>
      <c r="O190" s="16"/>
    </row>
    <row r="191" outlineLevel="2" s="197" customFormat="1">
      <c r="A191" s="18"/>
      <c r="B191" s="17"/>
      <c r="C191" s="199"/>
      <c r="D191" s="199"/>
      <c r="E191" s="195"/>
      <c r="F191" s="87"/>
      <c r="G191" s="201"/>
      <c r="H191" s="18" t="s">
        <v>91</v>
      </c>
      <c r="I191" s="256" t="s">
        <v>349</v>
      </c>
      <c r="J191" s="255" t="s">
        <v>540</v>
      </c>
      <c r="K191" s="295" t="s">
        <v>60</v>
      </c>
      <c r="L191" s="296" t="s">
        <v>60</v>
      </c>
      <c r="M191" s="199"/>
      <c r="N191" s="199"/>
      <c r="O191" s="199"/>
    </row>
    <row r="192" outlineLevel="2" s="14" customFormat="1">
      <c r="A192" s="18"/>
      <c r="B192" s="17"/>
      <c r="C192" s="16"/>
      <c r="D192" s="16"/>
      <c r="E192" s="195"/>
      <c r="F192" s="87"/>
      <c r="G192" s="201"/>
      <c r="H192" s="18" t="s">
        <v>91</v>
      </c>
      <c r="I192" s="16" t="s">
        <v>541</v>
      </c>
      <c r="J192" s="255" t="s">
        <v>559</v>
      </c>
      <c r="K192" s="295" t="s">
        <v>60</v>
      </c>
      <c r="L192" s="296" t="s">
        <v>60</v>
      </c>
      <c r="M192" s="16"/>
      <c r="N192" s="16"/>
      <c r="O192" s="16"/>
    </row>
    <row r="193" outlineLevel="2" s="14" customFormat="1">
      <c r="A193" s="18"/>
      <c r="B193" s="17"/>
      <c r="C193" s="16"/>
      <c r="D193" s="16"/>
      <c r="E193" s="195"/>
      <c r="F193" s="87"/>
      <c r="G193" s="201"/>
      <c r="H193" s="18"/>
      <c r="I193" s="16"/>
      <c r="J193" s="255"/>
      <c r="K193" s="295" t="s">
        <v>60</v>
      </c>
      <c r="L193" s="295" t="s">
        <v>60</v>
      </c>
      <c r="M193" s="16"/>
      <c r="N193" s="16"/>
      <c r="O193" s="16"/>
    </row>
    <row r="194" ht="28.8" outlineLevel="1" s="14" customFormat="1">
      <c r="A194" s="18" t="s">
        <v>529</v>
      </c>
      <c r="B194" s="17" t="s">
        <v>634</v>
      </c>
      <c r="C194" s="16"/>
      <c r="D194" s="16"/>
      <c r="E194" s="16"/>
      <c r="F194" s="87" t="s">
        <v>635</v>
      </c>
      <c r="G194" s="201" t="s">
        <v>557</v>
      </c>
      <c r="H194" s="17"/>
      <c r="I194" s="255"/>
      <c r="J194" s="255"/>
      <c r="K194" s="295" t="s">
        <v>60</v>
      </c>
      <c r="L194" s="296" t="s">
        <v>60</v>
      </c>
      <c r="M194" s="16"/>
      <c r="N194" s="16"/>
      <c r="O194" s="16"/>
    </row>
    <row r="195" outlineLevel="2" s="197" customFormat="1">
      <c r="A195" s="18"/>
      <c r="B195" s="17"/>
      <c r="C195" s="199"/>
      <c r="D195" s="199"/>
      <c r="E195" s="195"/>
      <c r="F195" s="87"/>
      <c r="G195" s="201"/>
      <c r="H195" s="18" t="s">
        <v>91</v>
      </c>
      <c r="I195" s="256" t="s">
        <v>349</v>
      </c>
      <c r="J195" s="255" t="s">
        <v>553</v>
      </c>
      <c r="K195" s="295" t="s">
        <v>60</v>
      </c>
      <c r="L195" s="296" t="s">
        <v>60</v>
      </c>
      <c r="M195" s="199"/>
      <c r="N195" s="199"/>
      <c r="O195" s="199"/>
    </row>
    <row r="196" outlineLevel="2" s="14" customFormat="1">
      <c r="A196" s="18"/>
      <c r="B196" s="17"/>
      <c r="C196" s="16"/>
      <c r="D196" s="16"/>
      <c r="E196" s="195"/>
      <c r="F196" s="87"/>
      <c r="G196" s="201"/>
      <c r="H196" s="18" t="s">
        <v>91</v>
      </c>
      <c r="I196" s="256" t="s">
        <v>349</v>
      </c>
      <c r="J196" s="255" t="s">
        <v>636</v>
      </c>
      <c r="K196" s="295" t="s">
        <v>60</v>
      </c>
      <c r="L196" s="296" t="s">
        <v>60</v>
      </c>
      <c r="M196" s="16"/>
      <c r="N196" s="16"/>
      <c r="O196" s="16"/>
    </row>
    <row r="197" outlineLevel="2" s="14" customFormat="1">
      <c r="A197" s="18"/>
      <c r="B197" s="17"/>
      <c r="C197" s="16"/>
      <c r="D197" s="16"/>
      <c r="E197" s="195"/>
      <c r="F197" s="87"/>
      <c r="G197" s="201"/>
      <c r="H197" s="18" t="s">
        <v>91</v>
      </c>
      <c r="I197" s="255" t="s">
        <v>336</v>
      </c>
      <c r="J197" s="255">
        <v>60000</v>
      </c>
      <c r="K197" s="295" t="s">
        <v>60</v>
      </c>
      <c r="L197" s="296" t="s">
        <v>60</v>
      </c>
      <c r="M197" s="16"/>
      <c r="N197" s="16"/>
      <c r="O197" s="16"/>
    </row>
    <row r="198" outlineLevel="2" s="197" customFormat="1">
      <c r="A198" s="18"/>
      <c r="B198" s="17"/>
      <c r="C198" s="199"/>
      <c r="D198" s="199"/>
      <c r="E198" s="195"/>
      <c r="F198" s="87"/>
      <c r="G198" s="201"/>
      <c r="H198" s="18" t="s">
        <v>91</v>
      </c>
      <c r="I198" s="256" t="s">
        <v>349</v>
      </c>
      <c r="J198" s="255" t="s">
        <v>540</v>
      </c>
      <c r="K198" s="295" t="s">
        <v>60</v>
      </c>
      <c r="L198" s="296" t="s">
        <v>60</v>
      </c>
      <c r="M198" s="199"/>
      <c r="N198" s="199"/>
      <c r="O198" s="199"/>
    </row>
    <row r="199" outlineLevel="2" s="14" customFormat="1">
      <c r="A199" s="18"/>
      <c r="B199" s="17"/>
      <c r="C199" s="16"/>
      <c r="D199" s="16"/>
      <c r="E199" s="195"/>
      <c r="F199" s="87"/>
      <c r="G199" s="201"/>
      <c r="H199" s="18" t="s">
        <v>91</v>
      </c>
      <c r="I199" s="16" t="s">
        <v>541</v>
      </c>
      <c r="J199" s="255" t="s">
        <v>559</v>
      </c>
      <c r="K199" s="295" t="s">
        <v>60</v>
      </c>
      <c r="L199" s="296" t="s">
        <v>60</v>
      </c>
      <c r="M199" s="16"/>
      <c r="N199" s="16"/>
      <c r="O199" s="16"/>
    </row>
    <row r="200" outlineLevel="2" s="14" customFormat="1">
      <c r="A200" s="18"/>
      <c r="B200" s="17"/>
      <c r="C200" s="16"/>
      <c r="D200" s="16"/>
      <c r="E200" s="195"/>
      <c r="F200" s="87"/>
      <c r="G200" s="201"/>
      <c r="H200" s="18"/>
      <c r="I200" s="16"/>
      <c r="J200" s="255"/>
      <c r="K200" s="295" t="s">
        <v>60</v>
      </c>
      <c r="L200" s="295" t="s">
        <v>60</v>
      </c>
      <c r="M200" s="16"/>
      <c r="N200" s="16"/>
      <c r="O200" s="16"/>
    </row>
    <row r="201" ht="28.8" outlineLevel="1" s="14" customFormat="1">
      <c r="A201" s="18" t="s">
        <v>529</v>
      </c>
      <c r="B201" s="17" t="s">
        <v>637</v>
      </c>
      <c r="C201" s="16"/>
      <c r="D201" s="16"/>
      <c r="E201" s="16"/>
      <c r="F201" s="87" t="s">
        <v>638</v>
      </c>
      <c r="G201" s="201" t="s">
        <v>609</v>
      </c>
      <c r="H201" s="17"/>
      <c r="I201" s="255"/>
      <c r="J201" s="255"/>
      <c r="K201" s="295" t="s">
        <v>60</v>
      </c>
      <c r="L201" s="296" t="s">
        <v>60</v>
      </c>
      <c r="M201" s="16"/>
      <c r="N201" s="16"/>
      <c r="O201" s="16"/>
    </row>
    <row r="202" outlineLevel="2" s="197" customFormat="1">
      <c r="A202" s="18"/>
      <c r="B202" s="17"/>
      <c r="C202" s="199"/>
      <c r="D202" s="199"/>
      <c r="E202" s="195"/>
      <c r="F202" s="87"/>
      <c r="G202" s="201"/>
      <c r="H202" s="18" t="s">
        <v>91</v>
      </c>
      <c r="I202" s="256" t="s">
        <v>349</v>
      </c>
      <c r="J202" s="255" t="s">
        <v>553</v>
      </c>
      <c r="K202" s="295" t="s">
        <v>60</v>
      </c>
      <c r="L202" s="296" t="s">
        <v>60</v>
      </c>
      <c r="M202" s="199"/>
      <c r="N202" s="199"/>
      <c r="O202" s="199"/>
    </row>
    <row r="203" outlineLevel="2" s="14" customFormat="1">
      <c r="A203" s="18"/>
      <c r="B203" s="17"/>
      <c r="C203" s="16"/>
      <c r="D203" s="16"/>
      <c r="E203" s="195"/>
      <c r="F203" s="87"/>
      <c r="G203" s="201"/>
      <c r="H203" s="18" t="s">
        <v>91</v>
      </c>
      <c r="I203" s="256" t="s">
        <v>349</v>
      </c>
      <c r="J203" s="255" t="s">
        <v>539</v>
      </c>
      <c r="K203" s="295" t="s">
        <v>60</v>
      </c>
      <c r="L203" s="296" t="s">
        <v>60</v>
      </c>
      <c r="M203" s="16"/>
      <c r="N203" s="16"/>
      <c r="O203" s="16"/>
    </row>
    <row r="204" outlineLevel="2" s="14" customFormat="1">
      <c r="A204" s="18"/>
      <c r="B204" s="17"/>
      <c r="C204" s="16"/>
      <c r="D204" s="16"/>
      <c r="E204" s="195"/>
      <c r="F204" s="87"/>
      <c r="G204" s="201"/>
      <c r="H204" s="18" t="s">
        <v>91</v>
      </c>
      <c r="I204" s="255" t="s">
        <v>336</v>
      </c>
      <c r="J204" s="255">
        <v>60000</v>
      </c>
      <c r="K204" s="295" t="s">
        <v>60</v>
      </c>
      <c r="L204" s="296" t="s">
        <v>60</v>
      </c>
      <c r="M204" s="16"/>
      <c r="N204" s="16"/>
      <c r="O204" s="16"/>
    </row>
    <row r="205" outlineLevel="2" s="197" customFormat="1">
      <c r="A205" s="18"/>
      <c r="B205" s="17"/>
      <c r="C205" s="199"/>
      <c r="D205" s="199"/>
      <c r="E205" s="195"/>
      <c r="F205" s="87"/>
      <c r="G205" s="201"/>
      <c r="H205" s="18" t="s">
        <v>91</v>
      </c>
      <c r="I205" s="256" t="s">
        <v>349</v>
      </c>
      <c r="J205" s="255" t="s">
        <v>540</v>
      </c>
      <c r="K205" s="295" t="s">
        <v>60</v>
      </c>
      <c r="L205" s="296" t="s">
        <v>60</v>
      </c>
      <c r="M205" s="199"/>
      <c r="N205" s="199"/>
      <c r="O205" s="199"/>
    </row>
    <row r="206" outlineLevel="2" s="14" customFormat="1">
      <c r="A206" s="18"/>
      <c r="B206" s="17"/>
      <c r="C206" s="16"/>
      <c r="D206" s="16"/>
      <c r="E206" s="195"/>
      <c r="F206" s="87"/>
      <c r="G206" s="201"/>
      <c r="H206" s="18" t="s">
        <v>91</v>
      </c>
      <c r="I206" s="16" t="s">
        <v>541</v>
      </c>
      <c r="J206" s="255" t="s">
        <v>610</v>
      </c>
      <c r="K206" s="295" t="s">
        <v>60</v>
      </c>
      <c r="L206" s="296" t="s">
        <v>60</v>
      </c>
      <c r="M206" s="16"/>
      <c r="N206" s="16"/>
      <c r="O206" s="16"/>
    </row>
    <row r="207" outlineLevel="2" s="14" customFormat="1">
      <c r="A207" s="18"/>
      <c r="B207" s="17"/>
      <c r="C207" s="16"/>
      <c r="D207" s="16"/>
      <c r="E207" s="195"/>
      <c r="F207" s="87"/>
      <c r="G207" s="201"/>
      <c r="H207" s="18"/>
      <c r="I207" s="16"/>
      <c r="J207" s="255"/>
      <c r="K207" s="295" t="s">
        <v>60</v>
      </c>
      <c r="L207" s="295" t="s">
        <v>60</v>
      </c>
      <c r="M207" s="16"/>
      <c r="N207" s="16"/>
      <c r="O207" s="16"/>
    </row>
    <row r="208" outlineLevel="1" s="14" customFormat="1">
      <c r="A208" s="18"/>
      <c r="B208" s="17"/>
      <c r="C208" s="16"/>
      <c r="D208" s="16"/>
      <c r="E208" s="16"/>
      <c r="F208" s="87"/>
      <c r="G208" s="201"/>
      <c r="H208" s="17"/>
      <c r="I208" s="255"/>
      <c r="J208" s="255"/>
      <c r="K208" s="295" t="s">
        <v>60</v>
      </c>
      <c r="L208" s="295" t="s">
        <v>60</v>
      </c>
      <c r="M208" s="16"/>
      <c r="N208" s="16"/>
      <c r="O208" s="16"/>
    </row>
    <row r="209" outlineLevel="1" s="14" customFormat="1">
      <c r="A209" s="18"/>
      <c r="B209" s="17"/>
      <c r="C209" s="16"/>
      <c r="D209" s="16"/>
      <c r="E209" s="16"/>
      <c r="F209" s="195"/>
      <c r="G209" s="202"/>
      <c r="H209" s="17"/>
      <c r="I209" s="255"/>
      <c r="J209" s="255"/>
      <c r="K209" s="295" t="s">
        <v>60</v>
      </c>
      <c r="L209" s="297" t="s">
        <v>60</v>
      </c>
      <c r="M209" s="16"/>
      <c r="N209" s="16"/>
      <c r="O209" s="16"/>
    </row>
    <row r="210" s="193" customFormat="1">
      <c r="A210" s="191" t="s">
        <v>529</v>
      </c>
      <c r="B210" s="250" t="s">
        <v>639</v>
      </c>
      <c r="C210" s="192"/>
      <c r="D210" s="192"/>
      <c r="E210" s="192"/>
      <c r="F210" s="198"/>
      <c r="G210" s="192"/>
      <c r="H210" s="253"/>
      <c r="I210" s="254"/>
      <c r="J210" s="254"/>
      <c r="K210" s="293" t="s">
        <v>60</v>
      </c>
      <c r="L210" s="294" t="s">
        <v>60</v>
      </c>
      <c r="M210" s="192"/>
      <c r="N210" s="192"/>
      <c r="O210" s="192"/>
    </row>
    <row r="211" hidden="1" ht="43.8" outlineLevel="1">
      <c r="A211" s="18" t="s">
        <v>529</v>
      </c>
      <c r="B211" s="17" t="s">
        <v>640</v>
      </c>
      <c r="C211" s="16"/>
      <c r="D211" s="16" t="s">
        <v>534</v>
      </c>
      <c r="E211" s="195" t="s">
        <v>579</v>
      </c>
      <c r="F211" s="195" t="s">
        <v>641</v>
      </c>
      <c r="G211" s="201" t="s">
        <v>593</v>
      </c>
      <c r="H211" s="17"/>
      <c r="I211" s="255"/>
      <c r="J211" s="255"/>
      <c r="K211" s="295" t="s">
        <v>60</v>
      </c>
      <c r="L211" s="297" t="s">
        <v>60</v>
      </c>
      <c r="M211" s="16"/>
      <c r="N211" s="16"/>
      <c r="O211" s="16"/>
    </row>
    <row r="212" hidden="1" outlineLevel="2" s="14" customFormat="1">
      <c r="A212" s="18"/>
      <c r="B212" s="17"/>
      <c r="C212" s="16"/>
      <c r="D212" s="16"/>
      <c r="E212" s="195"/>
      <c r="F212" s="87"/>
      <c r="G212" s="201"/>
      <c r="H212" s="18" t="s">
        <v>91</v>
      </c>
      <c r="I212" s="256" t="s">
        <v>349</v>
      </c>
      <c r="J212" s="255" t="s">
        <v>406</v>
      </c>
      <c r="K212" s="295" t="s">
        <v>60</v>
      </c>
      <c r="L212" s="300" t="s">
        <v>60</v>
      </c>
      <c r="M212" s="16"/>
      <c r="N212" s="16"/>
      <c r="O212" s="16"/>
    </row>
    <row r="213" hidden="1" outlineLevel="2" s="14" customFormat="1">
      <c r="A213" s="18"/>
      <c r="B213" s="17"/>
      <c r="C213" s="16"/>
      <c r="D213" s="16"/>
      <c r="E213" s="195"/>
      <c r="F213" s="87"/>
      <c r="G213" s="201"/>
      <c r="H213" s="18" t="s">
        <v>91</v>
      </c>
      <c r="I213" s="255" t="s">
        <v>336</v>
      </c>
      <c r="J213" s="255">
        <v>2000</v>
      </c>
      <c r="K213" s="295" t="s">
        <v>60</v>
      </c>
      <c r="L213" s="300" t="s">
        <v>60</v>
      </c>
      <c r="M213" s="16"/>
      <c r="N213" s="16"/>
      <c r="O213" s="16"/>
    </row>
    <row r="214" hidden="1" outlineLevel="2" s="197" customFormat="1">
      <c r="A214" s="18"/>
      <c r="B214" s="17"/>
      <c r="C214" s="199"/>
      <c r="D214" s="199"/>
      <c r="E214" s="195"/>
      <c r="F214" s="87"/>
      <c r="G214" s="201"/>
      <c r="H214" s="18" t="s">
        <v>91</v>
      </c>
      <c r="I214" s="256" t="s">
        <v>349</v>
      </c>
      <c r="J214" s="255" t="s">
        <v>407</v>
      </c>
      <c r="K214" s="295" t="s">
        <v>60</v>
      </c>
      <c r="L214" s="300" t="s">
        <v>60</v>
      </c>
      <c r="M214" s="199"/>
      <c r="N214" s="199"/>
      <c r="O214" s="199"/>
    </row>
    <row r="215" hidden="1" outlineLevel="2" s="14" customFormat="1">
      <c r="A215" s="18"/>
      <c r="B215" s="17"/>
      <c r="C215" s="16"/>
      <c r="D215" s="16"/>
      <c r="E215" s="195"/>
      <c r="F215" s="87"/>
      <c r="G215" s="201"/>
      <c r="H215" s="18" t="s">
        <v>91</v>
      </c>
      <c r="I215" s="256" t="s">
        <v>349</v>
      </c>
      <c r="J215" s="255" t="s">
        <v>539</v>
      </c>
      <c r="K215" s="295" t="s">
        <v>60</v>
      </c>
      <c r="L215" s="300" t="s">
        <v>60</v>
      </c>
      <c r="M215" s="16"/>
      <c r="N215" s="16"/>
      <c r="O215" s="16"/>
    </row>
    <row r="216" hidden="1" outlineLevel="2" s="14" customFormat="1">
      <c r="A216" s="18"/>
      <c r="B216" s="17"/>
      <c r="C216" s="16"/>
      <c r="D216" s="16"/>
      <c r="E216" s="195"/>
      <c r="F216" s="87"/>
      <c r="G216" s="201"/>
      <c r="H216" s="18" t="s">
        <v>91</v>
      </c>
      <c r="I216" s="256" t="s">
        <v>349</v>
      </c>
      <c r="J216" s="255" t="s">
        <v>553</v>
      </c>
      <c r="K216" s="295" t="s">
        <v>60</v>
      </c>
      <c r="L216" s="300" t="s">
        <v>60</v>
      </c>
      <c r="M216" s="16"/>
      <c r="N216" s="16"/>
      <c r="O216" s="16"/>
    </row>
    <row r="217" hidden="1" outlineLevel="2" s="14" customFormat="1">
      <c r="A217" s="18"/>
      <c r="B217" s="17"/>
      <c r="C217" s="16"/>
      <c r="D217" s="16"/>
      <c r="E217" s="195"/>
      <c r="F217" s="87"/>
      <c r="G217" s="201"/>
      <c r="H217" s="18" t="s">
        <v>91</v>
      </c>
      <c r="I217" s="255" t="s">
        <v>336</v>
      </c>
      <c r="J217" s="255">
        <v>60000</v>
      </c>
      <c r="K217" s="295" t="s">
        <v>60</v>
      </c>
      <c r="L217" s="300" t="s">
        <v>60</v>
      </c>
      <c r="M217" s="16"/>
      <c r="N217" s="16"/>
      <c r="O217" s="16"/>
    </row>
    <row r="218" hidden="1" outlineLevel="2" s="197" customFormat="1">
      <c r="A218" s="18"/>
      <c r="B218" s="17"/>
      <c r="C218" s="199"/>
      <c r="D218" s="199"/>
      <c r="E218" s="195"/>
      <c r="F218" s="87"/>
      <c r="G218" s="201"/>
      <c r="H218" s="18" t="s">
        <v>91</v>
      </c>
      <c r="I218" s="256" t="s">
        <v>349</v>
      </c>
      <c r="J218" s="255" t="s">
        <v>540</v>
      </c>
      <c r="K218" s="295" t="s">
        <v>60</v>
      </c>
      <c r="L218" s="300" t="s">
        <v>60</v>
      </c>
      <c r="M218" s="199"/>
      <c r="N218" s="199"/>
      <c r="O218" s="199"/>
    </row>
    <row r="219" hidden="1" outlineLevel="2" s="14" customFormat="1">
      <c r="A219" s="18"/>
      <c r="B219" s="17"/>
      <c r="C219" s="16"/>
      <c r="D219" s="16"/>
      <c r="E219" s="195"/>
      <c r="F219" s="87"/>
      <c r="G219" s="201"/>
      <c r="H219" s="18" t="s">
        <v>91</v>
      </c>
      <c r="I219" s="16" t="s">
        <v>541</v>
      </c>
      <c r="J219" s="255" t="s">
        <v>594</v>
      </c>
      <c r="K219" s="295" t="s">
        <v>60</v>
      </c>
      <c r="L219" s="300" t="s">
        <v>60</v>
      </c>
      <c r="M219" s="16"/>
      <c r="N219" s="16"/>
      <c r="O219" s="16"/>
    </row>
    <row r="220" hidden="1" outlineLevel="2" s="14" customFormat="1">
      <c r="A220" s="18"/>
      <c r="B220" s="17"/>
      <c r="C220" s="16"/>
      <c r="D220" s="16"/>
      <c r="E220" s="195"/>
      <c r="F220" s="87"/>
      <c r="G220" s="201"/>
      <c r="H220" s="18"/>
      <c r="I220" s="16"/>
      <c r="J220" s="255"/>
      <c r="K220" s="295" t="s">
        <v>60</v>
      </c>
      <c r="L220" s="300" t="s">
        <v>60</v>
      </c>
      <c r="M220" s="16"/>
      <c r="N220" s="16"/>
      <c r="O220" s="16"/>
    </row>
    <row r="221" hidden="1" outlineLevel="1">
      <c r="A221" s="18" t="s">
        <v>529</v>
      </c>
      <c r="B221" s="17" t="s">
        <v>642</v>
      </c>
      <c r="C221" s="16"/>
      <c r="D221" s="16"/>
      <c r="E221" s="16"/>
      <c r="F221" s="199" t="s">
        <v>643</v>
      </c>
      <c r="G221" s="16" t="s">
        <v>644</v>
      </c>
      <c r="H221" s="17"/>
      <c r="I221" s="255"/>
      <c r="J221" s="255"/>
      <c r="K221" s="295" t="s">
        <v>60</v>
      </c>
      <c r="L221" s="297" t="s">
        <v>60</v>
      </c>
      <c r="M221" s="16"/>
      <c r="N221" s="16"/>
      <c r="O221" s="16"/>
    </row>
    <row r="222" hidden="1" outlineLevel="2" s="14" customFormat="1">
      <c r="A222" s="18"/>
      <c r="B222" s="17"/>
      <c r="C222" s="16"/>
      <c r="D222" s="16"/>
      <c r="E222" s="16"/>
      <c r="F222" s="199"/>
      <c r="G222" s="16"/>
      <c r="H222" s="18" t="s">
        <v>91</v>
      </c>
      <c r="I222" s="16" t="s">
        <v>541</v>
      </c>
      <c r="J222" s="255" t="s">
        <v>645</v>
      </c>
      <c r="K222" s="295" t="s">
        <v>60</v>
      </c>
      <c r="L222" s="297" t="s">
        <v>60</v>
      </c>
      <c r="M222" s="16"/>
      <c r="N222" s="16"/>
      <c r="O222" s="16"/>
    </row>
    <row r="223" hidden="1" outlineLevel="2" s="197" customFormat="1">
      <c r="A223" s="18"/>
      <c r="B223" s="17"/>
      <c r="C223" s="199"/>
      <c r="D223" s="199"/>
      <c r="E223" s="195"/>
      <c r="F223" s="87"/>
      <c r="G223" s="201"/>
      <c r="H223" s="18" t="s">
        <v>91</v>
      </c>
      <c r="I223" s="256" t="s">
        <v>349</v>
      </c>
      <c r="J223" s="255" t="s">
        <v>553</v>
      </c>
      <c r="K223" s="295" t="s">
        <v>60</v>
      </c>
      <c r="L223" s="300" t="s">
        <v>60</v>
      </c>
      <c r="M223" s="199"/>
      <c r="N223" s="199"/>
      <c r="O223" s="199"/>
    </row>
    <row r="224" hidden="1" outlineLevel="2" s="14" customFormat="1">
      <c r="A224" s="18"/>
      <c r="B224" s="17"/>
      <c r="C224" s="16"/>
      <c r="D224" s="16"/>
      <c r="E224" s="16"/>
      <c r="F224" s="199"/>
      <c r="G224" s="16"/>
      <c r="H224" s="18" t="s">
        <v>91</v>
      </c>
      <c r="I224" s="255" t="s">
        <v>336</v>
      </c>
      <c r="J224" s="255">
        <v>1000</v>
      </c>
      <c r="K224" s="295" t="s">
        <v>60</v>
      </c>
      <c r="L224" s="297" t="s">
        <v>60</v>
      </c>
      <c r="M224" s="16"/>
      <c r="N224" s="16"/>
      <c r="O224" s="16"/>
    </row>
    <row r="225" hidden="1" outlineLevel="2" s="197" customFormat="1">
      <c r="A225" s="18"/>
      <c r="B225" s="17"/>
      <c r="C225" s="199"/>
      <c r="D225" s="199"/>
      <c r="E225" s="195"/>
      <c r="F225" s="87"/>
      <c r="G225" s="201"/>
      <c r="H225" s="18" t="s">
        <v>91</v>
      </c>
      <c r="I225" s="256" t="s">
        <v>349</v>
      </c>
      <c r="J225" s="255" t="s">
        <v>540</v>
      </c>
      <c r="K225" s="295" t="s">
        <v>60</v>
      </c>
      <c r="L225" s="300" t="s">
        <v>60</v>
      </c>
      <c r="M225" s="199"/>
      <c r="N225" s="199"/>
      <c r="O225" s="199"/>
    </row>
    <row r="226" hidden="1" outlineLevel="2" s="14" customFormat="1">
      <c r="A226" s="18"/>
      <c r="B226" s="17"/>
      <c r="C226" s="16"/>
      <c r="D226" s="16"/>
      <c r="E226" s="16"/>
      <c r="F226" s="199"/>
      <c r="G226" s="16"/>
      <c r="H226" s="18" t="s">
        <v>91</v>
      </c>
      <c r="I226" s="16" t="s">
        <v>541</v>
      </c>
      <c r="J226" s="255" t="s">
        <v>646</v>
      </c>
      <c r="K226" s="295" t="s">
        <v>60</v>
      </c>
      <c r="L226" s="297" t="s">
        <v>60</v>
      </c>
      <c r="M226" s="16"/>
      <c r="N226" s="16"/>
      <c r="O226" s="16"/>
    </row>
    <row r="227" hidden="1" outlineLevel="2" s="14" customFormat="1">
      <c r="A227" s="18"/>
      <c r="B227" s="17"/>
      <c r="C227" s="16"/>
      <c r="D227" s="16"/>
      <c r="E227" s="16"/>
      <c r="F227" s="199"/>
      <c r="G227" s="16"/>
      <c r="H227" s="17"/>
      <c r="I227" s="255"/>
      <c r="J227" s="255"/>
      <c r="K227" s="295" t="s">
        <v>60</v>
      </c>
      <c r="L227" s="297" t="s">
        <v>60</v>
      </c>
      <c r="M227" s="16"/>
      <c r="N227" s="16"/>
      <c r="O227" s="16"/>
    </row>
    <row r="228" hidden="1" outlineLevel="1">
      <c r="A228" s="18" t="s">
        <v>529</v>
      </c>
      <c r="B228" s="17" t="s">
        <v>647</v>
      </c>
      <c r="C228" s="16"/>
      <c r="D228" s="16"/>
      <c r="E228" s="16"/>
      <c r="F228" s="199" t="s">
        <v>648</v>
      </c>
      <c r="G228" s="201" t="s">
        <v>597</v>
      </c>
      <c r="H228" s="17"/>
      <c r="I228" s="255"/>
      <c r="J228" s="255"/>
      <c r="K228" s="295" t="s">
        <v>60</v>
      </c>
      <c r="L228" s="297" t="s">
        <v>60</v>
      </c>
      <c r="M228" s="16"/>
      <c r="N228" s="16"/>
      <c r="O228" s="16"/>
    </row>
    <row r="229" hidden="1" outlineLevel="2" s="14" customFormat="1">
      <c r="A229" s="18"/>
      <c r="B229" s="17"/>
      <c r="C229" s="16"/>
      <c r="D229" s="16"/>
      <c r="E229" s="16"/>
      <c r="F229" s="199"/>
      <c r="G229" s="16"/>
      <c r="H229" s="18" t="s">
        <v>91</v>
      </c>
      <c r="I229" s="16" t="s">
        <v>541</v>
      </c>
      <c r="J229" s="255" t="s">
        <v>649</v>
      </c>
      <c r="K229" s="295" t="s">
        <v>60</v>
      </c>
      <c r="L229" s="297" t="s">
        <v>60</v>
      </c>
      <c r="M229" s="16"/>
      <c r="N229" s="16"/>
      <c r="O229" s="16"/>
    </row>
    <row r="230" hidden="1" outlineLevel="2" s="197" customFormat="1">
      <c r="A230" s="18"/>
      <c r="B230" s="17"/>
      <c r="C230" s="199"/>
      <c r="D230" s="199"/>
      <c r="E230" s="195"/>
      <c r="F230" s="87"/>
      <c r="G230" s="201"/>
      <c r="H230" s="18" t="s">
        <v>91</v>
      </c>
      <c r="I230" s="256" t="s">
        <v>349</v>
      </c>
      <c r="J230" s="255" t="s">
        <v>553</v>
      </c>
      <c r="K230" s="295" t="s">
        <v>60</v>
      </c>
      <c r="L230" s="300" t="s">
        <v>60</v>
      </c>
      <c r="M230" s="199"/>
      <c r="N230" s="199"/>
      <c r="O230" s="199"/>
    </row>
    <row r="231" hidden="1" outlineLevel="2" s="14" customFormat="1">
      <c r="A231" s="18"/>
      <c r="B231" s="17"/>
      <c r="C231" s="16"/>
      <c r="D231" s="16"/>
      <c r="E231" s="16"/>
      <c r="F231" s="199"/>
      <c r="G231" s="16"/>
      <c r="H231" s="18" t="s">
        <v>91</v>
      </c>
      <c r="I231" s="255" t="s">
        <v>336</v>
      </c>
      <c r="J231" s="255">
        <v>60000</v>
      </c>
      <c r="K231" s="295" t="s">
        <v>60</v>
      </c>
      <c r="L231" s="297" t="s">
        <v>60</v>
      </c>
      <c r="M231" s="16"/>
      <c r="N231" s="16"/>
      <c r="O231" s="16"/>
    </row>
    <row r="232" hidden="1" outlineLevel="2" s="197" customFormat="1">
      <c r="A232" s="18"/>
      <c r="B232" s="17"/>
      <c r="C232" s="199"/>
      <c r="D232" s="199"/>
      <c r="E232" s="195"/>
      <c r="F232" s="87"/>
      <c r="G232" s="201"/>
      <c r="H232" s="18" t="s">
        <v>91</v>
      </c>
      <c r="I232" s="256" t="s">
        <v>349</v>
      </c>
      <c r="J232" s="255" t="s">
        <v>540</v>
      </c>
      <c r="K232" s="295" t="s">
        <v>60</v>
      </c>
      <c r="L232" s="300" t="s">
        <v>60</v>
      </c>
      <c r="M232" s="199"/>
      <c r="N232" s="199"/>
      <c r="O232" s="199"/>
    </row>
    <row r="233" hidden="1" outlineLevel="2" s="14" customFormat="1">
      <c r="A233" s="18"/>
      <c r="B233" s="17"/>
      <c r="C233" s="16"/>
      <c r="D233" s="16"/>
      <c r="E233" s="16"/>
      <c r="F233" s="199"/>
      <c r="G233" s="16"/>
      <c r="H233" s="18" t="s">
        <v>91</v>
      </c>
      <c r="I233" s="16" t="s">
        <v>541</v>
      </c>
      <c r="J233" s="255" t="s">
        <v>598</v>
      </c>
      <c r="K233" s="295" t="s">
        <v>60</v>
      </c>
      <c r="L233" s="297" t="s">
        <v>60</v>
      </c>
      <c r="M233" s="16"/>
      <c r="N233" s="16"/>
      <c r="O233" s="16"/>
    </row>
    <row r="234" hidden="1" outlineLevel="2" s="14" customFormat="1">
      <c r="A234" s="18"/>
      <c r="B234" s="17"/>
      <c r="C234" s="16"/>
      <c r="D234" s="16"/>
      <c r="E234" s="16"/>
      <c r="F234" s="199"/>
      <c r="G234" s="16"/>
      <c r="H234" s="17"/>
      <c r="I234" s="255"/>
      <c r="J234" s="255"/>
      <c r="K234" s="295" t="s">
        <v>60</v>
      </c>
      <c r="L234" s="297" t="s">
        <v>60</v>
      </c>
      <c r="M234" s="16"/>
      <c r="N234" s="16"/>
      <c r="O234" s="16"/>
    </row>
    <row r="235" hidden="1" ht="43.8" outlineLevel="1">
      <c r="A235" s="18" t="s">
        <v>529</v>
      </c>
      <c r="B235" s="17" t="s">
        <v>650</v>
      </c>
      <c r="C235" s="16"/>
      <c r="D235" s="16" t="s">
        <v>534</v>
      </c>
      <c r="E235" s="195" t="s">
        <v>579</v>
      </c>
      <c r="F235" s="195" t="s">
        <v>641</v>
      </c>
      <c r="G235" s="201" t="s">
        <v>593</v>
      </c>
      <c r="H235" s="17"/>
      <c r="I235" s="255"/>
      <c r="J235" s="255"/>
      <c r="K235" s="295" t="s">
        <v>60</v>
      </c>
      <c r="L235" s="297" t="s">
        <v>60</v>
      </c>
      <c r="M235" s="16"/>
      <c r="N235" s="16"/>
      <c r="O235" s="16"/>
    </row>
    <row r="236" hidden="1" outlineLevel="2" s="14" customFormat="1">
      <c r="A236" s="18"/>
      <c r="B236" s="17"/>
      <c r="C236" s="16"/>
      <c r="D236" s="16"/>
      <c r="E236" s="195"/>
      <c r="F236" s="87"/>
      <c r="G236" s="201"/>
      <c r="H236" s="18" t="s">
        <v>91</v>
      </c>
      <c r="I236" s="256" t="s">
        <v>349</v>
      </c>
      <c r="J236" s="255" t="s">
        <v>406</v>
      </c>
      <c r="K236" s="295" t="s">
        <v>60</v>
      </c>
      <c r="L236" s="300" t="s">
        <v>60</v>
      </c>
      <c r="M236" s="16"/>
      <c r="N236" s="16"/>
      <c r="O236" s="16"/>
    </row>
    <row r="237" hidden="1" outlineLevel="2" s="14" customFormat="1">
      <c r="A237" s="18"/>
      <c r="B237" s="17"/>
      <c r="C237" s="16"/>
      <c r="D237" s="16"/>
      <c r="E237" s="195"/>
      <c r="F237" s="87"/>
      <c r="G237" s="201"/>
      <c r="H237" s="18" t="s">
        <v>91</v>
      </c>
      <c r="I237" s="255" t="s">
        <v>336</v>
      </c>
      <c r="J237" s="255">
        <v>2000</v>
      </c>
      <c r="K237" s="295" t="s">
        <v>60</v>
      </c>
      <c r="L237" s="300" t="s">
        <v>60</v>
      </c>
      <c r="M237" s="16"/>
      <c r="N237" s="16"/>
      <c r="O237" s="16"/>
    </row>
    <row r="238" hidden="1" outlineLevel="2" s="197" customFormat="1">
      <c r="A238" s="18"/>
      <c r="B238" s="17"/>
      <c r="C238" s="199"/>
      <c r="D238" s="199"/>
      <c r="E238" s="195"/>
      <c r="F238" s="87"/>
      <c r="G238" s="201"/>
      <c r="H238" s="18" t="s">
        <v>91</v>
      </c>
      <c r="I238" s="256" t="s">
        <v>349</v>
      </c>
      <c r="J238" s="255" t="s">
        <v>407</v>
      </c>
      <c r="K238" s="295" t="s">
        <v>60</v>
      </c>
      <c r="L238" s="300" t="s">
        <v>60</v>
      </c>
      <c r="M238" s="199"/>
      <c r="N238" s="199"/>
      <c r="O238" s="199"/>
    </row>
    <row r="239" hidden="1" outlineLevel="2" s="14" customFormat="1">
      <c r="A239" s="18"/>
      <c r="B239" s="17"/>
      <c r="C239" s="16"/>
      <c r="D239" s="16"/>
      <c r="E239" s="195"/>
      <c r="F239" s="87"/>
      <c r="G239" s="201"/>
      <c r="H239" s="18" t="s">
        <v>91</v>
      </c>
      <c r="I239" s="256" t="s">
        <v>349</v>
      </c>
      <c r="J239" s="255" t="s">
        <v>539</v>
      </c>
      <c r="K239" s="295" t="s">
        <v>60</v>
      </c>
      <c r="L239" s="300" t="s">
        <v>60</v>
      </c>
      <c r="M239" s="16"/>
      <c r="N239" s="16"/>
      <c r="O239" s="16"/>
    </row>
    <row r="240" hidden="1" outlineLevel="2" s="14" customFormat="1">
      <c r="A240" s="18"/>
      <c r="B240" s="17"/>
      <c r="C240" s="16"/>
      <c r="D240" s="16"/>
      <c r="E240" s="195"/>
      <c r="F240" s="87"/>
      <c r="G240" s="201"/>
      <c r="H240" s="18" t="s">
        <v>91</v>
      </c>
      <c r="I240" s="256" t="s">
        <v>349</v>
      </c>
      <c r="J240" s="255" t="s">
        <v>553</v>
      </c>
      <c r="K240" s="295" t="s">
        <v>60</v>
      </c>
      <c r="L240" s="300" t="s">
        <v>60</v>
      </c>
      <c r="M240" s="16"/>
      <c r="N240" s="16"/>
      <c r="O240" s="16"/>
    </row>
    <row r="241" hidden="1" outlineLevel="2" s="14" customFormat="1">
      <c r="A241" s="18"/>
      <c r="B241" s="17"/>
      <c r="C241" s="16"/>
      <c r="D241" s="16"/>
      <c r="E241" s="195"/>
      <c r="F241" s="87"/>
      <c r="G241" s="201"/>
      <c r="H241" s="18" t="s">
        <v>91</v>
      </c>
      <c r="I241" s="255" t="s">
        <v>336</v>
      </c>
      <c r="J241" s="255">
        <v>60000</v>
      </c>
      <c r="K241" s="295" t="s">
        <v>60</v>
      </c>
      <c r="L241" s="300" t="s">
        <v>60</v>
      </c>
      <c r="M241" s="16"/>
      <c r="N241" s="16"/>
      <c r="O241" s="16"/>
    </row>
    <row r="242" hidden="1" outlineLevel="2" s="197" customFormat="1">
      <c r="A242" s="18"/>
      <c r="B242" s="17"/>
      <c r="C242" s="199"/>
      <c r="D242" s="199"/>
      <c r="E242" s="195"/>
      <c r="F242" s="87"/>
      <c r="G242" s="201"/>
      <c r="H242" s="18" t="s">
        <v>91</v>
      </c>
      <c r="I242" s="256" t="s">
        <v>349</v>
      </c>
      <c r="J242" s="255" t="s">
        <v>540</v>
      </c>
      <c r="K242" s="295" t="s">
        <v>60</v>
      </c>
      <c r="L242" s="300" t="s">
        <v>60</v>
      </c>
      <c r="M242" s="199"/>
      <c r="N242" s="199"/>
      <c r="O242" s="199"/>
    </row>
    <row r="243" hidden="1" outlineLevel="2" s="14" customFormat="1">
      <c r="A243" s="18"/>
      <c r="B243" s="17"/>
      <c r="C243" s="16"/>
      <c r="D243" s="16"/>
      <c r="E243" s="195"/>
      <c r="F243" s="87"/>
      <c r="G243" s="201"/>
      <c r="H243" s="18" t="s">
        <v>91</v>
      </c>
      <c r="I243" s="16" t="s">
        <v>541</v>
      </c>
      <c r="J243" s="255" t="s">
        <v>594</v>
      </c>
      <c r="K243" s="295" t="s">
        <v>60</v>
      </c>
      <c r="L243" s="300" t="s">
        <v>60</v>
      </c>
      <c r="M243" s="16"/>
      <c r="N243" s="16"/>
      <c r="O243" s="16"/>
    </row>
    <row r="244" hidden="1" outlineLevel="1">
      <c r="A244" s="18" t="s">
        <v>529</v>
      </c>
      <c r="B244" s="17" t="s">
        <v>651</v>
      </c>
      <c r="C244" s="16"/>
      <c r="D244" s="16"/>
      <c r="E244" s="16"/>
      <c r="F244" s="199" t="s">
        <v>652</v>
      </c>
      <c r="G244" s="16" t="s">
        <v>644</v>
      </c>
      <c r="H244" s="17"/>
      <c r="I244" s="255"/>
      <c r="J244" s="255"/>
      <c r="K244" s="295" t="s">
        <v>60</v>
      </c>
      <c r="L244" s="297" t="s">
        <v>60</v>
      </c>
      <c r="M244" s="16"/>
      <c r="N244" s="16"/>
      <c r="O244" s="16"/>
    </row>
    <row r="245" hidden="1" outlineLevel="2" s="14" customFormat="1">
      <c r="A245" s="18"/>
      <c r="B245" s="17"/>
      <c r="C245" s="16"/>
      <c r="D245" s="16"/>
      <c r="E245" s="16"/>
      <c r="F245" s="199"/>
      <c r="G245" s="16"/>
      <c r="H245" s="18" t="s">
        <v>91</v>
      </c>
      <c r="I245" s="16" t="s">
        <v>541</v>
      </c>
      <c r="J245" s="255" t="s">
        <v>653</v>
      </c>
      <c r="K245" s="295" t="s">
        <v>60</v>
      </c>
      <c r="L245" s="297" t="s">
        <v>60</v>
      </c>
      <c r="M245" s="16"/>
      <c r="N245" s="16"/>
      <c r="O245" s="16"/>
    </row>
    <row r="246" hidden="1" outlineLevel="2" s="197" customFormat="1">
      <c r="A246" s="18"/>
      <c r="B246" s="17"/>
      <c r="C246" s="199"/>
      <c r="D246" s="199"/>
      <c r="E246" s="195"/>
      <c r="F246" s="87"/>
      <c r="G246" s="201"/>
      <c r="H246" s="18" t="s">
        <v>91</v>
      </c>
      <c r="I246" s="256" t="s">
        <v>349</v>
      </c>
      <c r="J246" s="255" t="s">
        <v>553</v>
      </c>
      <c r="K246" s="295" t="s">
        <v>60</v>
      </c>
      <c r="L246" s="300" t="s">
        <v>60</v>
      </c>
      <c r="M246" s="199"/>
      <c r="N246" s="199"/>
      <c r="O246" s="199"/>
    </row>
    <row r="247" hidden="1" outlineLevel="2" s="14" customFormat="1">
      <c r="A247" s="18"/>
      <c r="B247" s="17"/>
      <c r="C247" s="16"/>
      <c r="D247" s="16"/>
      <c r="E247" s="16"/>
      <c r="F247" s="199"/>
      <c r="G247" s="16"/>
      <c r="H247" s="18" t="s">
        <v>91</v>
      </c>
      <c r="I247" s="255" t="s">
        <v>336</v>
      </c>
      <c r="J247" s="255">
        <v>1000</v>
      </c>
      <c r="K247" s="295" t="s">
        <v>60</v>
      </c>
      <c r="L247" s="297" t="s">
        <v>60</v>
      </c>
      <c r="M247" s="16"/>
      <c r="N247" s="16"/>
      <c r="O247" s="16"/>
    </row>
    <row r="248" hidden="1" outlineLevel="2" s="197" customFormat="1">
      <c r="A248" s="18"/>
      <c r="B248" s="17"/>
      <c r="C248" s="199"/>
      <c r="D248" s="199"/>
      <c r="E248" s="195"/>
      <c r="F248" s="87"/>
      <c r="G248" s="201"/>
      <c r="H248" s="18" t="s">
        <v>91</v>
      </c>
      <c r="I248" s="256" t="s">
        <v>349</v>
      </c>
      <c r="J248" s="255" t="s">
        <v>540</v>
      </c>
      <c r="K248" s="295" t="s">
        <v>60</v>
      </c>
      <c r="L248" s="300" t="s">
        <v>60</v>
      </c>
      <c r="M248" s="199"/>
      <c r="N248" s="199"/>
      <c r="O248" s="199"/>
    </row>
    <row r="249" hidden="1" outlineLevel="2" s="14" customFormat="1">
      <c r="A249" s="18"/>
      <c r="B249" s="17"/>
      <c r="C249" s="16"/>
      <c r="D249" s="16"/>
      <c r="E249" s="16"/>
      <c r="F249" s="199"/>
      <c r="G249" s="16"/>
      <c r="H249" s="18" t="s">
        <v>91</v>
      </c>
      <c r="I249" s="16" t="s">
        <v>541</v>
      </c>
      <c r="J249" s="255" t="s">
        <v>646</v>
      </c>
      <c r="K249" s="295" t="s">
        <v>60</v>
      </c>
      <c r="L249" s="297" t="s">
        <v>60</v>
      </c>
      <c r="M249" s="16"/>
      <c r="N249" s="16"/>
      <c r="O249" s="16"/>
    </row>
    <row r="250" hidden="1" outlineLevel="1">
      <c r="A250" s="18" t="s">
        <v>529</v>
      </c>
      <c r="B250" s="17" t="s">
        <v>654</v>
      </c>
      <c r="C250" s="16"/>
      <c r="D250" s="16"/>
      <c r="E250" s="16"/>
      <c r="F250" s="199" t="s">
        <v>655</v>
      </c>
      <c r="G250" s="201" t="s">
        <v>597</v>
      </c>
      <c r="H250" s="17"/>
      <c r="I250" s="255"/>
      <c r="J250" s="255"/>
      <c r="K250" s="295" t="s">
        <v>60</v>
      </c>
      <c r="L250" s="297" t="s">
        <v>60</v>
      </c>
      <c r="M250" s="16"/>
      <c r="N250" s="16"/>
      <c r="O250" s="16"/>
    </row>
    <row r="251" hidden="1" outlineLevel="2" s="14" customFormat="1">
      <c r="A251" s="18"/>
      <c r="B251" s="17"/>
      <c r="C251" s="16"/>
      <c r="D251" s="16"/>
      <c r="E251" s="16"/>
      <c r="F251" s="199"/>
      <c r="G251" s="16"/>
      <c r="H251" s="18" t="s">
        <v>91</v>
      </c>
      <c r="I251" s="16" t="s">
        <v>541</v>
      </c>
      <c r="J251" s="255" t="s">
        <v>656</v>
      </c>
      <c r="K251" s="295" t="s">
        <v>60</v>
      </c>
      <c r="L251" s="297" t="s">
        <v>60</v>
      </c>
      <c r="M251" s="16"/>
      <c r="N251" s="16"/>
      <c r="O251" s="16"/>
    </row>
    <row r="252" hidden="1" outlineLevel="2" s="197" customFormat="1">
      <c r="A252" s="18"/>
      <c r="B252" s="17"/>
      <c r="C252" s="199"/>
      <c r="D252" s="199"/>
      <c r="E252" s="195"/>
      <c r="F252" s="87"/>
      <c r="G252" s="201"/>
      <c r="H252" s="18" t="s">
        <v>91</v>
      </c>
      <c r="I252" s="256" t="s">
        <v>349</v>
      </c>
      <c r="J252" s="255" t="s">
        <v>553</v>
      </c>
      <c r="K252" s="295" t="s">
        <v>60</v>
      </c>
      <c r="L252" s="300" t="s">
        <v>60</v>
      </c>
      <c r="M252" s="199"/>
      <c r="N252" s="199"/>
      <c r="O252" s="199"/>
    </row>
    <row r="253" hidden="1" outlineLevel="2" s="197" customFormat="1">
      <c r="A253" s="18"/>
      <c r="B253" s="17"/>
      <c r="C253" s="199"/>
      <c r="D253" s="199"/>
      <c r="E253" s="199"/>
      <c r="F253" s="199"/>
      <c r="G253" s="199"/>
      <c r="H253" s="18" t="s">
        <v>91</v>
      </c>
      <c r="I253" s="255" t="s">
        <v>336</v>
      </c>
      <c r="J253" s="255">
        <v>60000</v>
      </c>
      <c r="K253" s="295" t="s">
        <v>60</v>
      </c>
      <c r="L253" s="297" t="s">
        <v>60</v>
      </c>
      <c r="M253" s="199"/>
      <c r="N253" s="199"/>
      <c r="O253" s="199"/>
    </row>
    <row r="254" hidden="1" outlineLevel="2" s="197" customFormat="1">
      <c r="A254" s="18"/>
      <c r="B254" s="17"/>
      <c r="C254" s="199"/>
      <c r="D254" s="199"/>
      <c r="E254" s="195"/>
      <c r="F254" s="87"/>
      <c r="G254" s="201"/>
      <c r="H254" s="18" t="s">
        <v>91</v>
      </c>
      <c r="I254" s="256" t="s">
        <v>349</v>
      </c>
      <c r="J254" s="255" t="s">
        <v>540</v>
      </c>
      <c r="K254" s="295" t="s">
        <v>60</v>
      </c>
      <c r="L254" s="300" t="s">
        <v>60</v>
      </c>
      <c r="M254" s="199"/>
      <c r="N254" s="199"/>
      <c r="O254" s="199"/>
    </row>
    <row r="255" hidden="1" outlineLevel="2" s="14" customFormat="1">
      <c r="A255" s="18"/>
      <c r="B255" s="17"/>
      <c r="C255" s="16"/>
      <c r="D255" s="16"/>
      <c r="E255" s="16"/>
      <c r="F255" s="199"/>
      <c r="G255" s="16"/>
      <c r="H255" s="18" t="s">
        <v>91</v>
      </c>
      <c r="I255" s="16" t="s">
        <v>541</v>
      </c>
      <c r="J255" s="255" t="s">
        <v>598</v>
      </c>
      <c r="K255" s="295" t="s">
        <v>60</v>
      </c>
      <c r="L255" s="297" t="s">
        <v>60</v>
      </c>
      <c r="M255" s="16"/>
      <c r="N255" s="16"/>
      <c r="O255" s="16"/>
    </row>
    <row r="256" hidden="1" outlineLevel="2" s="14" customFormat="1">
      <c r="A256" s="18"/>
      <c r="B256" s="17"/>
      <c r="C256" s="16"/>
      <c r="D256" s="16"/>
      <c r="E256" s="16"/>
      <c r="F256" s="199"/>
      <c r="G256" s="16"/>
      <c r="H256" s="17"/>
      <c r="I256" s="255"/>
      <c r="J256" s="255"/>
      <c r="K256" s="295" t="s">
        <v>60</v>
      </c>
      <c r="L256" s="297" t="s">
        <v>60</v>
      </c>
      <c r="M256" s="16"/>
      <c r="N256" s="16"/>
      <c r="O256" s="16"/>
    </row>
    <row r="257" hidden="1" outlineLevel="1">
      <c r="A257" s="18"/>
      <c r="B257" s="17"/>
      <c r="C257" s="16"/>
      <c r="D257" s="16"/>
      <c r="E257" s="16"/>
      <c r="F257" s="199"/>
      <c r="G257" s="16"/>
      <c r="H257" s="17"/>
      <c r="I257" s="255"/>
      <c r="J257" s="255"/>
      <c r="K257" s="295" t="s">
        <v>60</v>
      </c>
      <c r="L257" s="297" t="s">
        <v>60</v>
      </c>
      <c r="M257" s="16"/>
      <c r="N257" s="16"/>
      <c r="O257" s="16"/>
    </row>
    <row r="258" hidden="1" outlineLevel="1">
      <c r="A258" s="18"/>
      <c r="B258" s="17"/>
      <c r="C258" s="16"/>
      <c r="D258" s="16"/>
      <c r="E258" s="16"/>
      <c r="F258" s="199"/>
      <c r="G258" s="16"/>
      <c r="H258" s="17"/>
      <c r="I258" s="255"/>
      <c r="J258" s="255"/>
      <c r="K258" s="295" t="s">
        <v>60</v>
      </c>
      <c r="L258" s="297" t="s">
        <v>60</v>
      </c>
      <c r="M258" s="16"/>
      <c r="N258" s="16"/>
      <c r="O258" s="16"/>
    </row>
    <row r="259">
      <c r="A259" s="18"/>
      <c r="B259" s="17"/>
      <c r="C259" s="16"/>
      <c r="D259" s="16"/>
      <c r="E259" s="16"/>
      <c r="F259" s="199"/>
      <c r="G259" s="16"/>
      <c r="H259" s="17"/>
      <c r="I259" s="255"/>
      <c r="J259" s="255"/>
      <c r="K259" s="295" t="s">
        <v>60</v>
      </c>
      <c r="L259" s="297" t="s">
        <v>60</v>
      </c>
      <c r="M259" s="16"/>
      <c r="N259" s="16"/>
      <c r="O259" s="16"/>
    </row>
    <row r="260">
      <c r="A260" s="18"/>
      <c r="B260" s="17"/>
      <c r="C260" s="16"/>
      <c r="D260" s="16"/>
      <c r="E260" s="16"/>
      <c r="F260" s="199"/>
      <c r="G260" s="16"/>
      <c r="H260" s="17"/>
      <c r="I260" s="255"/>
      <c r="J260" s="255"/>
      <c r="K260" s="295" t="s">
        <v>60</v>
      </c>
      <c r="L260" s="297" t="s">
        <v>60</v>
      </c>
      <c r="M260" s="16"/>
      <c r="N260" s="16"/>
      <c r="O260" s="16"/>
    </row>
    <row r="261">
      <c r="A261" s="18"/>
      <c r="B261" s="17"/>
      <c r="C261" s="16"/>
      <c r="D261" s="16"/>
      <c r="E261" s="16"/>
      <c r="F261" s="199"/>
      <c r="G261" s="16"/>
      <c r="H261" s="16"/>
      <c r="I261" s="255"/>
      <c r="J261" s="255"/>
      <c r="K261" s="295" t="s">
        <v>60</v>
      </c>
      <c r="L261" s="297" t="s">
        <v>60</v>
      </c>
      <c r="M261" s="16"/>
      <c r="N261" s="16"/>
      <c r="O261" s="16"/>
    </row>
    <row r="262">
      <c r="A262" s="18"/>
      <c r="B262" s="17"/>
      <c r="C262" s="16"/>
      <c r="D262" s="16"/>
      <c r="E262" s="16"/>
      <c r="F262" s="199"/>
      <c r="G262" s="16"/>
      <c r="H262" s="16"/>
      <c r="I262" s="255"/>
      <c r="J262" s="255"/>
      <c r="K262" s="295" t="s">
        <v>60</v>
      </c>
      <c r="L262" s="297" t="s">
        <v>60</v>
      </c>
      <c r="M262" s="16"/>
      <c r="N262" s="16"/>
      <c r="O262" s="16"/>
    </row>
    <row r="263">
      <c r="A263" s="18"/>
      <c r="B263" s="17"/>
      <c r="C263" s="16"/>
      <c r="D263" s="16"/>
      <c r="E263" s="16"/>
      <c r="F263" s="199"/>
      <c r="G263" s="16"/>
      <c r="H263" s="16"/>
      <c r="I263" s="255"/>
      <c r="J263" s="255"/>
      <c r="K263" s="295" t="s">
        <v>60</v>
      </c>
      <c r="L263" s="297" t="s">
        <v>60</v>
      </c>
      <c r="M263" s="16"/>
      <c r="N263" s="16"/>
      <c r="O263" s="16"/>
    </row>
    <row r="264">
      <c r="A264" s="18"/>
      <c r="B264" s="16"/>
      <c r="C264" s="16"/>
      <c r="D264" s="16"/>
      <c r="E264" s="16"/>
      <c r="F264" s="199"/>
      <c r="G264" s="16"/>
      <c r="H264" s="16"/>
      <c r="I264" s="255"/>
      <c r="J264" s="255"/>
      <c r="K264" s="295" t="s">
        <v>60</v>
      </c>
      <c r="L264" s="297" t="s">
        <v>60</v>
      </c>
      <c r="M264" s="16"/>
      <c r="N264" s="16"/>
      <c r="O264" s="16"/>
    </row>
    <row r="265">
      <c r="A265" s="18"/>
      <c r="B265" s="16"/>
      <c r="C265" s="16"/>
      <c r="D265" s="16"/>
      <c r="E265" s="16"/>
      <c r="F265" s="199"/>
      <c r="G265" s="16"/>
      <c r="H265" s="16"/>
      <c r="I265" s="255"/>
      <c r="J265" s="255"/>
      <c r="K265" s="295" t="s">
        <v>60</v>
      </c>
      <c r="L265" s="297" t="s">
        <v>60</v>
      </c>
      <c r="M265" s="16"/>
      <c r="N265" s="16"/>
      <c r="O265" s="16"/>
    </row>
    <row r="266">
      <c r="A266" s="18"/>
      <c r="B266" s="16"/>
      <c r="C266" s="16"/>
      <c r="D266" s="16"/>
      <c r="E266" s="16"/>
      <c r="F266" s="199"/>
      <c r="G266" s="16"/>
      <c r="H266" s="16"/>
      <c r="I266" s="255"/>
      <c r="J266" s="255"/>
      <c r="K266" s="295" t="s">
        <v>60</v>
      </c>
      <c r="L266" s="297" t="s">
        <v>60</v>
      </c>
      <c r="M266" s="16"/>
      <c r="N266" s="16"/>
      <c r="O266" s="16"/>
    </row>
    <row r="267">
      <c r="A267" s="18"/>
      <c r="B267" s="16"/>
      <c r="C267" s="16"/>
      <c r="D267" s="16"/>
      <c r="E267" s="16"/>
      <c r="F267" s="199"/>
      <c r="G267" s="16"/>
      <c r="H267" s="16"/>
      <c r="I267" s="255"/>
      <c r="J267" s="255"/>
      <c r="K267" s="295" t="s">
        <v>60</v>
      </c>
      <c r="L267" s="297" t="s">
        <v>60</v>
      </c>
      <c r="M267" s="16"/>
      <c r="N267" s="16"/>
      <c r="O267" s="16"/>
    </row>
    <row r="268">
      <c r="A268" s="18"/>
      <c r="B268" s="16"/>
      <c r="C268" s="16"/>
      <c r="D268" s="16"/>
      <c r="E268" s="16"/>
      <c r="F268" s="199"/>
      <c r="G268" s="16"/>
      <c r="H268" s="16"/>
      <c r="I268" s="255"/>
      <c r="J268" s="255"/>
      <c r="K268" s="295" t="s">
        <v>60</v>
      </c>
      <c r="L268" s="297" t="s">
        <v>60</v>
      </c>
      <c r="M268" s="16"/>
      <c r="N268" s="16"/>
      <c r="O268" s="16"/>
    </row>
    <row r="269">
      <c r="A269" s="18"/>
      <c r="B269" s="16"/>
      <c r="C269" s="16"/>
      <c r="D269" s="16"/>
      <c r="E269" s="16"/>
      <c r="F269" s="199"/>
      <c r="G269" s="16"/>
      <c r="H269" s="16"/>
      <c r="I269" s="255"/>
      <c r="J269" s="255"/>
      <c r="K269" s="295" t="s">
        <v>60</v>
      </c>
      <c r="L269" s="297" t="s">
        <v>60</v>
      </c>
      <c r="M269" s="16"/>
      <c r="N269" s="16"/>
      <c r="O269" s="16"/>
    </row>
    <row r="270">
      <c r="A270" s="18"/>
      <c r="B270" s="16"/>
      <c r="C270" s="16"/>
      <c r="D270" s="16"/>
      <c r="E270" s="16"/>
      <c r="F270" s="199"/>
      <c r="G270" s="16"/>
      <c r="H270" s="16"/>
      <c r="I270" s="255"/>
      <c r="J270" s="255"/>
      <c r="K270" s="295" t="s">
        <v>60</v>
      </c>
      <c r="L270" s="297" t="s">
        <v>60</v>
      </c>
      <c r="M270" s="16"/>
      <c r="N270" s="16"/>
      <c r="O270" s="16"/>
    </row>
    <row r="271">
      <c r="A271" s="18"/>
      <c r="B271" s="16"/>
      <c r="C271" s="16"/>
      <c r="D271" s="16"/>
      <c r="E271" s="16"/>
      <c r="F271" s="199"/>
      <c r="G271" s="16"/>
      <c r="H271" s="16"/>
      <c r="I271" s="255"/>
      <c r="J271" s="255"/>
      <c r="K271" s="295" t="s">
        <v>60</v>
      </c>
      <c r="L271" s="297" t="s">
        <v>60</v>
      </c>
      <c r="M271" s="16"/>
      <c r="N271" s="16"/>
      <c r="O271" s="16"/>
    </row>
    <row r="272">
      <c r="A272" s="18"/>
      <c r="B272" s="16"/>
      <c r="C272" s="16"/>
      <c r="D272" s="16"/>
      <c r="E272" s="16"/>
      <c r="F272" s="199"/>
      <c r="G272" s="16"/>
      <c r="H272" s="16"/>
      <c r="I272" s="255"/>
      <c r="J272" s="255"/>
      <c r="K272" s="295" t="s">
        <v>60</v>
      </c>
      <c r="L272" s="297" t="s">
        <v>60</v>
      </c>
      <c r="M272" s="16"/>
      <c r="N272" s="16"/>
      <c r="O272" s="16"/>
    </row>
    <row r="273">
      <c r="A273" s="18"/>
      <c r="B273" s="16"/>
      <c r="C273" s="16"/>
      <c r="D273" s="16"/>
      <c r="E273" s="16"/>
      <c r="F273" s="199"/>
      <c r="G273" s="16"/>
      <c r="H273" s="16"/>
      <c r="I273" s="255"/>
      <c r="J273" s="255"/>
      <c r="K273" s="295" t="s">
        <v>60</v>
      </c>
      <c r="L273" s="297" t="s">
        <v>60</v>
      </c>
      <c r="M273" s="16"/>
      <c r="N273" s="16"/>
      <c r="O273" s="16"/>
    </row>
    <row r="274">
      <c r="A274" s="18"/>
      <c r="B274" s="16"/>
      <c r="C274" s="16"/>
      <c r="D274" s="16"/>
      <c r="E274" s="16"/>
      <c r="F274" s="199"/>
      <c r="G274" s="16"/>
      <c r="H274" s="16"/>
      <c r="I274" s="255"/>
      <c r="J274" s="255"/>
      <c r="K274" s="295" t="s">
        <v>60</v>
      </c>
      <c r="L274" s="297" t="s">
        <v>60</v>
      </c>
      <c r="M274" s="16"/>
      <c r="N274" s="16"/>
      <c r="O274" s="16"/>
    </row>
    <row r="275">
      <c r="A275" s="18"/>
      <c r="B275" s="16"/>
      <c r="C275" s="16"/>
      <c r="D275" s="16"/>
      <c r="E275" s="16"/>
      <c r="F275" s="199"/>
      <c r="G275" s="16"/>
      <c r="H275" s="16"/>
      <c r="I275" s="255"/>
      <c r="J275" s="255"/>
      <c r="K275" s="295" t="s">
        <v>60</v>
      </c>
      <c r="L275" s="297" t="s">
        <v>60</v>
      </c>
      <c r="M275" s="16"/>
      <c r="N275" s="16"/>
      <c r="O275" s="16"/>
    </row>
    <row r="276">
      <c r="A276" s="18"/>
      <c r="B276" s="16"/>
      <c r="C276" s="16"/>
      <c r="D276" s="16"/>
      <c r="E276" s="16"/>
      <c r="F276" s="199"/>
      <c r="G276" s="16"/>
      <c r="H276" s="16"/>
      <c r="I276" s="255"/>
      <c r="J276" s="255"/>
      <c r="K276" s="295" t="s">
        <v>60</v>
      </c>
      <c r="L276" s="297" t="s">
        <v>60</v>
      </c>
      <c r="M276" s="16"/>
      <c r="N276" s="16"/>
      <c r="O276" s="16"/>
    </row>
    <row r="277">
      <c r="A277" s="18"/>
      <c r="B277" s="16"/>
      <c r="C277" s="16"/>
      <c r="D277" s="16"/>
      <c r="E277" s="16"/>
      <c r="F277" s="199"/>
      <c r="G277" s="16"/>
      <c r="H277" s="16"/>
      <c r="I277" s="255"/>
      <c r="J277" s="255"/>
      <c r="K277" s="295" t="s">
        <v>60</v>
      </c>
      <c r="L277" s="297" t="s">
        <v>60</v>
      </c>
      <c r="M277" s="16"/>
      <c r="N277" s="16"/>
      <c r="O277" s="16"/>
    </row>
    <row r="278">
      <c r="A278" s="18"/>
      <c r="B278" s="16"/>
      <c r="C278" s="16"/>
      <c r="D278" s="16"/>
      <c r="E278" s="16"/>
      <c r="F278" s="199"/>
      <c r="G278" s="16"/>
      <c r="H278" s="16"/>
      <c r="I278" s="255"/>
      <c r="J278" s="255"/>
      <c r="K278" s="295" t="s">
        <v>60</v>
      </c>
      <c r="L278" s="297" t="s">
        <v>60</v>
      </c>
      <c r="M278" s="16"/>
      <c r="N278" s="16"/>
      <c r="O278" s="16"/>
    </row>
    <row r="279">
      <c r="A279" s="18"/>
      <c r="B279" s="16"/>
      <c r="C279" s="16"/>
      <c r="D279" s="16"/>
      <c r="E279" s="16"/>
      <c r="F279" s="199"/>
      <c r="G279" s="16"/>
      <c r="H279" s="16"/>
      <c r="I279" s="255"/>
      <c r="J279" s="255"/>
      <c r="K279" s="295" t="s">
        <v>60</v>
      </c>
      <c r="L279" s="297" t="s">
        <v>60</v>
      </c>
      <c r="M279" s="16"/>
      <c r="N279" s="16"/>
      <c r="O279" s="16"/>
    </row>
    <row r="280">
      <c r="A280" s="18"/>
      <c r="B280" s="16"/>
      <c r="C280" s="16"/>
      <c r="D280" s="16"/>
      <c r="E280" s="16"/>
      <c r="F280" s="199"/>
      <c r="G280" s="16"/>
      <c r="H280" s="16"/>
      <c r="I280" s="255"/>
      <c r="J280" s="255"/>
      <c r="K280" s="295" t="s">
        <v>60</v>
      </c>
      <c r="L280" s="297" t="s">
        <v>60</v>
      </c>
      <c r="M280" s="16"/>
      <c r="N280" s="16"/>
      <c r="O280" s="16"/>
    </row>
    <row r="281">
      <c r="A281" s="18"/>
      <c r="B281" s="16"/>
      <c r="C281" s="16"/>
      <c r="D281" s="16"/>
      <c r="E281" s="16"/>
      <c r="F281" s="199"/>
      <c r="G281" s="16"/>
      <c r="H281" s="16"/>
      <c r="I281" s="255"/>
      <c r="J281" s="255"/>
      <c r="K281" s="295" t="s">
        <v>60</v>
      </c>
      <c r="L281" s="297" t="s">
        <v>60</v>
      </c>
      <c r="M281" s="16"/>
      <c r="N281" s="16"/>
      <c r="O281" s="16"/>
    </row>
    <row r="282">
      <c r="A282" s="18"/>
      <c r="B282" s="16"/>
      <c r="C282" s="16"/>
      <c r="D282" s="16"/>
      <c r="E282" s="16"/>
      <c r="F282" s="199"/>
      <c r="G282" s="16"/>
      <c r="H282" s="16"/>
      <c r="I282" s="255"/>
      <c r="J282" s="255"/>
      <c r="K282" s="295" t="s">
        <v>60</v>
      </c>
      <c r="L282" s="297" t="s">
        <v>60</v>
      </c>
      <c r="M282" s="16"/>
      <c r="N282" s="16"/>
      <c r="O282" s="16"/>
    </row>
    <row r="283">
      <c r="A283" s="18"/>
      <c r="B283" s="16"/>
      <c r="C283" s="16"/>
      <c r="D283" s="16"/>
      <c r="E283" s="16"/>
      <c r="F283" s="199"/>
      <c r="G283" s="16"/>
      <c r="H283" s="16"/>
      <c r="I283" s="255"/>
      <c r="J283" s="255"/>
      <c r="K283" s="295" t="s">
        <v>60</v>
      </c>
      <c r="L283" s="297" t="s">
        <v>60</v>
      </c>
      <c r="M283" s="16"/>
      <c r="N283" s="16"/>
      <c r="O283" s="16"/>
    </row>
    <row r="284">
      <c r="A284" s="18"/>
      <c r="B284" s="16"/>
      <c r="C284" s="16"/>
      <c r="D284" s="16"/>
      <c r="E284" s="16"/>
      <c r="F284" s="199"/>
      <c r="G284" s="16"/>
      <c r="H284" s="16"/>
      <c r="I284" s="255"/>
      <c r="J284" s="255"/>
      <c r="K284" s="295" t="s">
        <v>60</v>
      </c>
      <c r="L284" s="297" t="s">
        <v>60</v>
      </c>
      <c r="M284" s="16"/>
      <c r="N284" s="16"/>
      <c r="O284" s="16"/>
    </row>
    <row r="285">
      <c r="A285" s="18"/>
      <c r="B285" s="16"/>
      <c r="C285" s="16"/>
      <c r="D285" s="16"/>
      <c r="E285" s="16"/>
      <c r="F285" s="199"/>
      <c r="G285" s="16"/>
      <c r="H285" s="16"/>
      <c r="I285" s="255"/>
      <c r="J285" s="255"/>
      <c r="K285" s="295" t="s">
        <v>60</v>
      </c>
      <c r="L285" s="297" t="s">
        <v>60</v>
      </c>
      <c r="M285" s="16"/>
      <c r="N285" s="16"/>
      <c r="O285" s="16"/>
    </row>
    <row r="286">
      <c r="A286" s="18"/>
      <c r="B286" s="16"/>
      <c r="C286" s="16"/>
      <c r="D286" s="16"/>
      <c r="E286" s="16"/>
      <c r="F286" s="199"/>
      <c r="G286" s="16"/>
      <c r="H286" s="16"/>
      <c r="I286" s="255"/>
      <c r="J286" s="255"/>
      <c r="K286" s="295" t="s">
        <v>60</v>
      </c>
      <c r="L286" s="297" t="s">
        <v>60</v>
      </c>
      <c r="M286" s="16"/>
      <c r="N286" s="16"/>
      <c r="O286" s="16"/>
    </row>
    <row r="287">
      <c r="A287" s="18"/>
      <c r="B287" s="16"/>
      <c r="C287" s="16"/>
      <c r="D287" s="16"/>
      <c r="E287" s="16"/>
      <c r="F287" s="199"/>
      <c r="G287" s="16"/>
      <c r="H287" s="16"/>
      <c r="I287" s="255"/>
      <c r="J287" s="255"/>
      <c r="K287" s="295" t="s">
        <v>60</v>
      </c>
      <c r="L287" s="297" t="s">
        <v>60</v>
      </c>
      <c r="M287" s="16"/>
      <c r="N287" s="16"/>
      <c r="O287" s="16"/>
    </row>
    <row r="288">
      <c r="A288" s="18"/>
      <c r="B288" s="16"/>
      <c r="C288" s="16"/>
      <c r="D288" s="16"/>
      <c r="E288" s="16"/>
      <c r="F288" s="199"/>
      <c r="G288" s="16"/>
      <c r="H288" s="16"/>
      <c r="I288" s="255"/>
      <c r="J288" s="255"/>
      <c r="K288" s="295" t="s">
        <v>60</v>
      </c>
      <c r="L288" s="297" t="s">
        <v>60</v>
      </c>
      <c r="M288" s="16"/>
      <c r="N288" s="16"/>
      <c r="O288" s="16"/>
    </row>
    <row r="289">
      <c r="A289" s="18"/>
      <c r="B289" s="16"/>
      <c r="C289" s="16"/>
      <c r="D289" s="16"/>
      <c r="E289" s="16"/>
      <c r="F289" s="199"/>
      <c r="G289" s="16"/>
      <c r="H289" s="16"/>
      <c r="I289" s="255"/>
      <c r="J289" s="255"/>
      <c r="K289" s="295" t="s">
        <v>60</v>
      </c>
      <c r="L289" s="297" t="s">
        <v>60</v>
      </c>
      <c r="M289" s="16"/>
      <c r="N289" s="16"/>
      <c r="O289" s="16"/>
    </row>
    <row r="290">
      <c r="A290" s="18"/>
      <c r="B290" s="16"/>
      <c r="C290" s="16"/>
      <c r="D290" s="16"/>
      <c r="E290" s="16"/>
      <c r="F290" s="199"/>
      <c r="G290" s="16"/>
      <c r="H290" s="16"/>
      <c r="I290" s="255"/>
      <c r="J290" s="255"/>
      <c r="K290" s="295" t="s">
        <v>60</v>
      </c>
      <c r="L290" s="297" t="s">
        <v>60</v>
      </c>
      <c r="M290" s="16"/>
      <c r="N290" s="16"/>
      <c r="O290" s="16"/>
    </row>
    <row r="291">
      <c r="A291" s="18"/>
      <c r="B291" s="16"/>
      <c r="C291" s="16"/>
      <c r="D291" s="16"/>
      <c r="E291" s="16"/>
      <c r="F291" s="199"/>
      <c r="G291" s="16"/>
      <c r="H291" s="16"/>
      <c r="I291" s="255"/>
      <c r="J291" s="255"/>
      <c r="K291" s="295" t="s">
        <v>60</v>
      </c>
      <c r="L291" s="297" t="s">
        <v>60</v>
      </c>
      <c r="M291" s="16"/>
      <c r="N291" s="16"/>
      <c r="O291" s="16"/>
    </row>
    <row r="292">
      <c r="A292" s="18"/>
      <c r="B292" s="16"/>
      <c r="C292" s="16"/>
      <c r="D292" s="16"/>
      <c r="E292" s="16"/>
      <c r="F292" s="199"/>
      <c r="G292" s="16"/>
      <c r="H292" s="16"/>
      <c r="I292" s="255"/>
      <c r="J292" s="255"/>
      <c r="K292" s="295" t="s">
        <v>60</v>
      </c>
      <c r="L292" s="297" t="s">
        <v>60</v>
      </c>
      <c r="M292" s="16"/>
      <c r="N292" s="16"/>
      <c r="O292" s="16"/>
    </row>
    <row r="293">
      <c r="A293" s="18"/>
      <c r="B293" s="16"/>
      <c r="C293" s="16"/>
      <c r="D293" s="16"/>
      <c r="E293" s="16"/>
      <c r="F293" s="199"/>
      <c r="G293" s="16"/>
      <c r="H293" s="16"/>
      <c r="I293" s="255"/>
      <c r="J293" s="255"/>
      <c r="K293" s="295" t="s">
        <v>60</v>
      </c>
      <c r="L293" s="297" t="s">
        <v>60</v>
      </c>
      <c r="M293" s="16"/>
      <c r="N293" s="16"/>
      <c r="O293" s="16"/>
    </row>
    <row r="294">
      <c r="A294" s="18"/>
      <c r="B294" s="16"/>
      <c r="C294" s="16"/>
      <c r="D294" s="16"/>
      <c r="E294" s="16"/>
      <c r="F294" s="199"/>
      <c r="G294" s="16"/>
      <c r="H294" s="16"/>
      <c r="I294" s="255"/>
      <c r="J294" s="255"/>
      <c r="K294" s="295" t="s">
        <v>60</v>
      </c>
      <c r="L294" s="297" t="s">
        <v>60</v>
      </c>
      <c r="M294" s="16"/>
      <c r="N294" s="16"/>
      <c r="O294" s="16"/>
    </row>
    <row r="295">
      <c r="A295" s="18"/>
      <c r="B295" s="16"/>
      <c r="C295" s="16"/>
      <c r="D295" s="16"/>
      <c r="E295" s="16"/>
      <c r="F295" s="199"/>
      <c r="G295" s="16"/>
      <c r="H295" s="16"/>
      <c r="I295" s="255"/>
      <c r="J295" s="255"/>
      <c r="K295" s="295" t="s">
        <v>60</v>
      </c>
      <c r="L295" s="297" t="s">
        <v>60</v>
      </c>
      <c r="M295" s="16"/>
      <c r="N295" s="16"/>
      <c r="O295" s="16"/>
    </row>
    <row r="296">
      <c r="A296" s="18"/>
      <c r="B296" s="16"/>
      <c r="C296" s="16"/>
      <c r="D296" s="16"/>
      <c r="E296" s="16"/>
      <c r="F296" s="199"/>
      <c r="G296" s="16"/>
      <c r="H296" s="16"/>
      <c r="I296" s="16"/>
      <c r="J296" s="16"/>
      <c r="K296" s="295" t="s">
        <v>60</v>
      </c>
      <c r="L296" s="297" t="s">
        <v>60</v>
      </c>
      <c r="M296" s="16"/>
      <c r="N296" s="16"/>
      <c r="O296" s="16"/>
    </row>
    <row r="297">
      <c r="A297" s="18"/>
      <c r="B297" s="16"/>
      <c r="C297" s="16"/>
      <c r="D297" s="16"/>
      <c r="E297" s="16"/>
      <c r="F297" s="199"/>
      <c r="G297" s="16"/>
      <c r="H297" s="16"/>
      <c r="I297" s="16"/>
      <c r="J297" s="16"/>
      <c r="K297" s="295" t="s">
        <v>60</v>
      </c>
      <c r="L297" s="297" t="s">
        <v>60</v>
      </c>
      <c r="M297" s="16"/>
      <c r="N297" s="16"/>
      <c r="O297" s="16"/>
    </row>
    <row r="298">
      <c r="A298" s="18"/>
      <c r="B298" s="16"/>
      <c r="C298" s="16"/>
      <c r="D298" s="16"/>
      <c r="E298" s="16"/>
      <c r="F298" s="199"/>
      <c r="G298" s="16"/>
      <c r="H298" s="16"/>
      <c r="I298" s="16"/>
      <c r="J298" s="16"/>
      <c r="K298" s="295" t="s">
        <v>60</v>
      </c>
      <c r="L298" s="297" t="s">
        <v>60</v>
      </c>
      <c r="M298" s="16"/>
      <c r="N298" s="16"/>
      <c r="O298" s="16"/>
    </row>
    <row r="299">
      <c r="A299" s="18"/>
      <c r="B299" s="16"/>
      <c r="C299" s="16"/>
      <c r="D299" s="16"/>
      <c r="E299" s="16"/>
      <c r="F299" s="199"/>
      <c r="G299" s="16"/>
      <c r="H299" s="16"/>
      <c r="I299" s="16"/>
      <c r="J299" s="16"/>
      <c r="K299" s="295" t="s">
        <v>60</v>
      </c>
      <c r="L299" s="297" t="s">
        <v>60</v>
      </c>
      <c r="M299" s="16"/>
      <c r="N299" s="16"/>
      <c r="O299" s="16"/>
    </row>
    <row r="300">
      <c r="A300" s="18"/>
      <c r="B300" s="16"/>
      <c r="C300" s="16"/>
      <c r="D300" s="16"/>
      <c r="E300" s="16"/>
      <c r="F300" s="199"/>
      <c r="G300" s="16"/>
      <c r="H300" s="16"/>
      <c r="I300" s="16"/>
      <c r="J300" s="16"/>
      <c r="K300" s="295" t="s">
        <v>60</v>
      </c>
      <c r="L300" s="297" t="s">
        <v>60</v>
      </c>
      <c r="M300" s="16"/>
      <c r="N300" s="16"/>
      <c r="O300" s="16"/>
    </row>
    <row r="301">
      <c r="A301" s="18"/>
      <c r="B301" s="16"/>
      <c r="C301" s="16"/>
      <c r="D301" s="16"/>
      <c r="E301" s="16"/>
      <c r="F301" s="199"/>
      <c r="G301" s="16"/>
      <c r="H301" s="16"/>
      <c r="I301" s="16"/>
      <c r="J301" s="16"/>
      <c r="K301" s="295" t="s">
        <v>60</v>
      </c>
      <c r="L301" s="297" t="s">
        <v>60</v>
      </c>
      <c r="M301" s="16"/>
      <c r="N301" s="16"/>
      <c r="O301" s="16"/>
    </row>
    <row r="302">
      <c r="A302" s="18"/>
      <c r="B302" s="16"/>
      <c r="C302" s="16"/>
      <c r="D302" s="16"/>
      <c r="E302" s="16"/>
      <c r="F302" s="199"/>
      <c r="G302" s="16"/>
      <c r="H302" s="16"/>
      <c r="I302" s="16"/>
      <c r="J302" s="16"/>
      <c r="K302" s="295" t="s">
        <v>60</v>
      </c>
      <c r="L302" s="297" t="s">
        <v>60</v>
      </c>
      <c r="M302" s="16"/>
      <c r="N302" s="16"/>
      <c r="O302" s="16"/>
    </row>
    <row r="303">
      <c r="A303" s="18"/>
      <c r="B303" s="16"/>
      <c r="C303" s="16"/>
      <c r="D303" s="16"/>
      <c r="E303" s="16"/>
      <c r="F303" s="199"/>
      <c r="G303" s="16"/>
      <c r="H303" s="16"/>
      <c r="I303" s="16"/>
      <c r="J303" s="16"/>
      <c r="K303" s="295" t="s">
        <v>60</v>
      </c>
      <c r="L303" s="297" t="s">
        <v>60</v>
      </c>
      <c r="M303" s="16"/>
      <c r="N303" s="16"/>
      <c r="O303" s="16"/>
    </row>
    <row r="304">
      <c r="A304" s="18"/>
      <c r="B304" s="16"/>
      <c r="C304" s="16"/>
      <c r="D304" s="16"/>
      <c r="E304" s="16"/>
      <c r="F304" s="199"/>
      <c r="G304" s="16"/>
      <c r="H304" s="16"/>
      <c r="I304" s="16"/>
      <c r="J304" s="16"/>
      <c r="K304" s="295" t="s">
        <v>60</v>
      </c>
      <c r="L304" s="297" t="s">
        <v>60</v>
      </c>
      <c r="M304" s="16"/>
      <c r="N304" s="16"/>
      <c r="O304" s="16"/>
    </row>
    <row r="305">
      <c r="A305" s="18"/>
      <c r="B305" s="16"/>
      <c r="C305" s="16"/>
      <c r="D305" s="16"/>
      <c r="E305" s="16"/>
      <c r="F305" s="199"/>
      <c r="G305" s="16"/>
      <c r="H305" s="16"/>
      <c r="I305" s="16"/>
      <c r="J305" s="16"/>
      <c r="K305" s="295" t="s">
        <v>60</v>
      </c>
      <c r="L305" s="297" t="s">
        <v>60</v>
      </c>
      <c r="M305" s="16"/>
      <c r="N305" s="16"/>
      <c r="O305" s="16"/>
    </row>
    <row r="306">
      <c r="A306" s="18"/>
      <c r="B306" s="16"/>
      <c r="C306" s="16"/>
      <c r="D306" s="16"/>
      <c r="E306" s="16"/>
      <c r="F306" s="199"/>
      <c r="G306" s="16"/>
      <c r="H306" s="16"/>
      <c r="I306" s="16"/>
      <c r="J306" s="16"/>
      <c r="K306" s="295" t="s">
        <v>60</v>
      </c>
      <c r="L306" s="297" t="s">
        <v>60</v>
      </c>
      <c r="M306" s="16"/>
      <c r="N306" s="16"/>
      <c r="O306" s="16"/>
    </row>
    <row r="307">
      <c r="A307" s="18"/>
      <c r="B307" s="16"/>
      <c r="C307" s="16"/>
      <c r="D307" s="16"/>
      <c r="E307" s="16"/>
      <c r="F307" s="199"/>
      <c r="G307" s="16"/>
      <c r="H307" s="16"/>
      <c r="I307" s="16"/>
      <c r="J307" s="16"/>
      <c r="K307" s="295" t="s">
        <v>60</v>
      </c>
      <c r="L307" s="297" t="s">
        <v>60</v>
      </c>
      <c r="M307" s="16"/>
      <c r="N307" s="16"/>
      <c r="O307" s="16"/>
    </row>
    <row r="308">
      <c r="A308" s="18"/>
      <c r="B308" s="16"/>
      <c r="C308" s="16"/>
      <c r="D308" s="16"/>
      <c r="E308" s="16"/>
      <c r="F308" s="199"/>
      <c r="G308" s="16"/>
      <c r="H308" s="16"/>
      <c r="I308" s="16"/>
      <c r="J308" s="16"/>
      <c r="K308" s="295" t="s">
        <v>60</v>
      </c>
      <c r="L308" s="297" t="s">
        <v>60</v>
      </c>
      <c r="M308" s="16"/>
      <c r="N308" s="16"/>
      <c r="O308" s="16"/>
    </row>
    <row r="309">
      <c r="A309" s="18"/>
      <c r="B309" s="16"/>
      <c r="C309" s="16"/>
      <c r="D309" s="16"/>
      <c r="E309" s="16"/>
      <c r="F309" s="199"/>
      <c r="G309" s="16"/>
      <c r="H309" s="16"/>
      <c r="I309" s="16"/>
      <c r="J309" s="16"/>
      <c r="K309" s="295" t="s">
        <v>60</v>
      </c>
      <c r="L309" s="297" t="s">
        <v>60</v>
      </c>
      <c r="M309" s="16"/>
      <c r="N309" s="16"/>
      <c r="O309" s="16"/>
    </row>
    <row r="310">
      <c r="A310" s="18"/>
      <c r="B310" s="16"/>
      <c r="C310" s="16"/>
      <c r="D310" s="16"/>
      <c r="E310" s="16"/>
      <c r="F310" s="199"/>
      <c r="G310" s="16"/>
      <c r="H310" s="16"/>
      <c r="I310" s="16"/>
      <c r="J310" s="16"/>
      <c r="K310" s="295" t="s">
        <v>60</v>
      </c>
      <c r="L310" s="297" t="s">
        <v>60</v>
      </c>
      <c r="M310" s="16"/>
      <c r="N310" s="16"/>
      <c r="O310" s="16"/>
    </row>
    <row r="311">
      <c r="A311" s="18"/>
      <c r="B311" s="16"/>
      <c r="C311" s="16"/>
      <c r="D311" s="16"/>
      <c r="E311" s="16"/>
      <c r="F311" s="199"/>
      <c r="G311" s="16"/>
      <c r="H311" s="16"/>
      <c r="I311" s="16"/>
      <c r="J311" s="16"/>
      <c r="K311" s="295" t="s">
        <v>60</v>
      </c>
      <c r="L311" s="297" t="s">
        <v>60</v>
      </c>
      <c r="M311" s="16"/>
      <c r="N311" s="16"/>
      <c r="O311" s="16"/>
    </row>
    <row r="312">
      <c r="A312" s="18"/>
      <c r="B312" s="16"/>
      <c r="C312" s="16"/>
      <c r="D312" s="16"/>
      <c r="E312" s="16"/>
      <c r="F312" s="199"/>
      <c r="G312" s="16"/>
      <c r="H312" s="16"/>
      <c r="I312" s="16"/>
      <c r="J312" s="16"/>
      <c r="K312" s="295" t="s">
        <v>60</v>
      </c>
      <c r="L312" s="297" t="s">
        <v>60</v>
      </c>
      <c r="M312" s="16"/>
      <c r="N312" s="16"/>
      <c r="O312" s="16"/>
    </row>
    <row r="313">
      <c r="A313" s="18"/>
      <c r="B313" s="16"/>
      <c r="C313" s="16"/>
      <c r="D313" s="16"/>
      <c r="E313" s="16"/>
      <c r="F313" s="199"/>
      <c r="G313" s="16"/>
      <c r="H313" s="16"/>
      <c r="I313" s="16"/>
      <c r="J313" s="16"/>
      <c r="K313" s="295" t="s">
        <v>60</v>
      </c>
      <c r="L313" s="297" t="s">
        <v>60</v>
      </c>
      <c r="M313" s="16"/>
      <c r="N313" s="16"/>
      <c r="O313" s="16"/>
    </row>
    <row r="314">
      <c r="A314" s="18"/>
      <c r="B314" s="16"/>
      <c r="C314" s="16"/>
      <c r="D314" s="16"/>
      <c r="E314" s="16"/>
      <c r="F314" s="199"/>
      <c r="G314" s="16"/>
      <c r="H314" s="16"/>
      <c r="I314" s="16"/>
      <c r="J314" s="16"/>
      <c r="K314" s="295" t="s">
        <v>60</v>
      </c>
      <c r="L314" s="297" t="s">
        <v>60</v>
      </c>
      <c r="M314" s="16"/>
      <c r="N314" s="16"/>
      <c r="O314" s="16"/>
    </row>
    <row r="315">
      <c r="A315" s="18"/>
      <c r="B315" s="16"/>
      <c r="C315" s="16"/>
      <c r="D315" s="16"/>
      <c r="E315" s="16"/>
      <c r="F315" s="199"/>
      <c r="G315" s="16"/>
      <c r="H315" s="16"/>
      <c r="I315" s="16"/>
      <c r="J315" s="16"/>
      <c r="K315" s="295" t="s">
        <v>60</v>
      </c>
      <c r="L315" s="297" t="s">
        <v>60</v>
      </c>
      <c r="M315" s="16"/>
      <c r="N315" s="16"/>
      <c r="O315" s="16"/>
    </row>
    <row r="316">
      <c r="A316" s="18"/>
      <c r="B316" s="16"/>
      <c r="C316" s="16"/>
      <c r="D316" s="16"/>
      <c r="E316" s="16"/>
      <c r="F316" s="199"/>
      <c r="G316" s="16"/>
      <c r="H316" s="16"/>
      <c r="I316" s="16"/>
      <c r="J316" s="16"/>
      <c r="K316" s="295" t="s">
        <v>60</v>
      </c>
      <c r="L316" s="297" t="s">
        <v>60</v>
      </c>
      <c r="M316" s="16"/>
      <c r="N316" s="16"/>
      <c r="O316" s="16"/>
    </row>
    <row r="317">
      <c r="A317" s="18"/>
      <c r="B317" s="16"/>
      <c r="C317" s="16"/>
      <c r="D317" s="16"/>
      <c r="E317" s="16"/>
      <c r="F317" s="199"/>
      <c r="G317" s="16"/>
      <c r="H317" s="16"/>
      <c r="I317" s="16"/>
      <c r="J317" s="16"/>
      <c r="K317" s="295" t="s">
        <v>60</v>
      </c>
      <c r="L317" s="297" t="s">
        <v>60</v>
      </c>
      <c r="M317" s="16"/>
      <c r="N317" s="16"/>
      <c r="O317" s="16"/>
    </row>
    <row r="318">
      <c r="A318" s="18"/>
      <c r="B318" s="16"/>
      <c r="C318" s="16"/>
      <c r="D318" s="16"/>
      <c r="E318" s="16"/>
      <c r="F318" s="199"/>
      <c r="G318" s="16"/>
      <c r="H318" s="16"/>
      <c r="I318" s="16"/>
      <c r="J318" s="16"/>
      <c r="K318" s="295" t="s">
        <v>60</v>
      </c>
      <c r="L318" s="297" t="s">
        <v>60</v>
      </c>
      <c r="M318" s="16"/>
      <c r="N318" s="16"/>
      <c r="O318" s="16"/>
    </row>
    <row r="319">
      <c r="A319" s="18"/>
      <c r="B319" s="16"/>
      <c r="C319" s="16"/>
      <c r="D319" s="16"/>
      <c r="E319" s="16"/>
      <c r="F319" s="199"/>
      <c r="G319" s="16"/>
      <c r="H319" s="16"/>
      <c r="I319" s="16"/>
      <c r="J319" s="16"/>
      <c r="K319" s="295" t="s">
        <v>60</v>
      </c>
      <c r="L319" s="297" t="s">
        <v>60</v>
      </c>
      <c r="M319" s="16"/>
      <c r="N319" s="16"/>
      <c r="O319" s="16"/>
    </row>
    <row r="320">
      <c r="A320" s="18"/>
      <c r="B320" s="16"/>
      <c r="C320" s="16"/>
      <c r="D320" s="16"/>
      <c r="E320" s="16"/>
      <c r="F320" s="199"/>
      <c r="G320" s="16"/>
      <c r="H320" s="16"/>
      <c r="I320" s="16"/>
      <c r="J320" s="16"/>
      <c r="K320" s="295" t="s">
        <v>60</v>
      </c>
      <c r="L320" s="297" t="s">
        <v>60</v>
      </c>
      <c r="M320" s="16"/>
      <c r="N320" s="16"/>
      <c r="O320" s="16"/>
    </row>
    <row r="321">
      <c r="A321" s="18"/>
      <c r="B321" s="16"/>
      <c r="C321" s="16"/>
      <c r="D321" s="16"/>
      <c r="E321" s="16"/>
      <c r="F321" s="199"/>
      <c r="G321" s="16"/>
      <c r="H321" s="16"/>
      <c r="I321" s="16"/>
      <c r="J321" s="16"/>
      <c r="K321" s="295" t="s">
        <v>60</v>
      </c>
      <c r="L321" s="297" t="s">
        <v>60</v>
      </c>
      <c r="M321" s="16"/>
      <c r="N321" s="16"/>
      <c r="O321" s="16"/>
    </row>
    <row r="322">
      <c r="A322" s="18"/>
      <c r="B322" s="16"/>
      <c r="C322" s="16"/>
      <c r="D322" s="16"/>
      <c r="E322" s="16"/>
      <c r="F322" s="199"/>
      <c r="G322" s="16"/>
      <c r="H322" s="16"/>
      <c r="I322" s="16"/>
      <c r="J322" s="16"/>
      <c r="K322" s="295" t="s">
        <v>60</v>
      </c>
      <c r="L322" s="297" t="s">
        <v>60</v>
      </c>
      <c r="M322" s="16"/>
      <c r="N322" s="16"/>
      <c r="O322" s="16"/>
    </row>
    <row r="323">
      <c r="A323" s="18"/>
      <c r="B323" s="16"/>
      <c r="C323" s="16"/>
      <c r="D323" s="16"/>
      <c r="E323" s="16"/>
      <c r="F323" s="199"/>
      <c r="G323" s="16"/>
      <c r="H323" s="16"/>
      <c r="I323" s="16"/>
      <c r="J323" s="16"/>
      <c r="K323" s="295" t="s">
        <v>60</v>
      </c>
      <c r="L323" s="297" t="s">
        <v>60</v>
      </c>
      <c r="M323" s="16"/>
      <c r="N323" s="16"/>
      <c r="O323" s="16"/>
    </row>
    <row r="324">
      <c r="A324" s="18"/>
      <c r="B324" s="16"/>
      <c r="C324" s="16"/>
      <c r="D324" s="16"/>
      <c r="E324" s="16"/>
      <c r="F324" s="199"/>
      <c r="G324" s="16"/>
      <c r="H324" s="16"/>
      <c r="I324" s="16"/>
      <c r="J324" s="16"/>
      <c r="K324" s="295" t="s">
        <v>60</v>
      </c>
      <c r="L324" s="297" t="s">
        <v>60</v>
      </c>
      <c r="M324" s="16"/>
      <c r="N324" s="16"/>
      <c r="O324" s="16"/>
    </row>
    <row r="325">
      <c r="A325" s="18"/>
      <c r="B325" s="16"/>
      <c r="C325" s="16"/>
      <c r="D325" s="16"/>
      <c r="E325" s="16"/>
      <c r="F325" s="199"/>
      <c r="G325" s="16"/>
      <c r="H325" s="16"/>
      <c r="I325" s="16"/>
      <c r="J325" s="16"/>
      <c r="K325" s="295" t="s">
        <v>60</v>
      </c>
      <c r="L325" s="297" t="s">
        <v>60</v>
      </c>
      <c r="M325" s="16"/>
      <c r="N325" s="16"/>
      <c r="O325" s="16"/>
    </row>
    <row r="326">
      <c r="A326" s="18"/>
      <c r="B326" s="16"/>
      <c r="C326" s="16"/>
      <c r="D326" s="16"/>
      <c r="E326" s="16"/>
      <c r="F326" s="199"/>
      <c r="G326" s="16"/>
      <c r="H326" s="16"/>
      <c r="I326" s="16"/>
      <c r="J326" s="16"/>
      <c r="K326" s="295" t="s">
        <v>60</v>
      </c>
      <c r="L326" s="297" t="s">
        <v>60</v>
      </c>
      <c r="M326" s="16"/>
      <c r="N326" s="16"/>
      <c r="O326" s="16"/>
    </row>
    <row r="327">
      <c r="A327" s="18"/>
      <c r="B327" s="16"/>
      <c r="C327" s="16"/>
      <c r="D327" s="16"/>
      <c r="E327" s="16"/>
      <c r="F327" s="199"/>
      <c r="G327" s="16"/>
      <c r="H327" s="16"/>
      <c r="I327" s="16"/>
      <c r="J327" s="16"/>
      <c r="K327" s="295" t="s">
        <v>60</v>
      </c>
      <c r="L327" s="297" t="s">
        <v>60</v>
      </c>
      <c r="M327" s="16"/>
      <c r="N327" s="16"/>
      <c r="O327" s="16"/>
    </row>
    <row r="328">
      <c r="A328" s="18"/>
      <c r="B328" s="16"/>
      <c r="C328" s="16"/>
      <c r="D328" s="16"/>
      <c r="E328" s="16"/>
      <c r="F328" s="199"/>
      <c r="G328" s="16"/>
      <c r="H328" s="16"/>
      <c r="I328" s="16"/>
      <c r="J328" s="16"/>
      <c r="K328" s="295" t="s">
        <v>60</v>
      </c>
      <c r="L328" s="297" t="s">
        <v>60</v>
      </c>
      <c r="M328" s="16"/>
      <c r="N328" s="16"/>
      <c r="O328" s="16"/>
    </row>
    <row r="329">
      <c r="A329" s="18"/>
      <c r="B329" s="16"/>
      <c r="C329" s="16"/>
      <c r="D329" s="16"/>
      <c r="E329" s="16"/>
      <c r="F329" s="199"/>
      <c r="G329" s="16"/>
      <c r="H329" s="16"/>
      <c r="I329" s="16"/>
      <c r="J329" s="16"/>
      <c r="K329" s="295" t="s">
        <v>60</v>
      </c>
      <c r="L329" s="297" t="s">
        <v>60</v>
      </c>
      <c r="M329" s="16"/>
      <c r="N329" s="16"/>
      <c r="O329" s="16"/>
    </row>
    <row r="330">
      <c r="A330" s="18"/>
      <c r="B330" s="16"/>
      <c r="C330" s="16"/>
      <c r="D330" s="16"/>
      <c r="E330" s="16"/>
      <c r="F330" s="199"/>
      <c r="G330" s="16"/>
      <c r="H330" s="16"/>
      <c r="I330" s="16"/>
      <c r="J330" s="16"/>
      <c r="K330" s="295" t="s">
        <v>60</v>
      </c>
      <c r="L330" s="297" t="s">
        <v>60</v>
      </c>
      <c r="M330" s="16"/>
      <c r="N330" s="16"/>
      <c r="O330" s="16"/>
    </row>
    <row r="331">
      <c r="A331" s="18"/>
      <c r="B331" s="16"/>
      <c r="C331" s="16"/>
      <c r="D331" s="16"/>
      <c r="E331" s="16"/>
      <c r="F331" s="199"/>
      <c r="G331" s="16"/>
      <c r="H331" s="16"/>
      <c r="I331" s="16"/>
      <c r="J331" s="16"/>
      <c r="K331" s="295" t="s">
        <v>60</v>
      </c>
      <c r="L331" s="297" t="s">
        <v>60</v>
      </c>
      <c r="M331" s="16"/>
      <c r="N331" s="16"/>
      <c r="O331" s="16"/>
    </row>
    <row r="332">
      <c r="A332" s="18"/>
      <c r="B332" s="16"/>
      <c r="C332" s="16"/>
      <c r="D332" s="16"/>
      <c r="E332" s="16"/>
      <c r="F332" s="199"/>
      <c r="G332" s="16"/>
      <c r="H332" s="16"/>
      <c r="I332" s="16"/>
      <c r="J332" s="16"/>
      <c r="K332" s="295" t="s">
        <v>60</v>
      </c>
      <c r="L332" s="297" t="s">
        <v>60</v>
      </c>
      <c r="M332" s="16"/>
      <c r="N332" s="16"/>
      <c r="O332" s="16"/>
    </row>
    <row r="333">
      <c r="A333" s="18"/>
      <c r="B333" s="16"/>
      <c r="C333" s="16"/>
      <c r="D333" s="16"/>
      <c r="E333" s="16"/>
      <c r="F333" s="199"/>
      <c r="G333" s="16"/>
      <c r="H333" s="16"/>
      <c r="I333" s="16"/>
      <c r="J333" s="16"/>
      <c r="K333" s="295" t="s">
        <v>60</v>
      </c>
      <c r="L333" s="297" t="s">
        <v>60</v>
      </c>
      <c r="M333" s="16"/>
      <c r="N333" s="16"/>
      <c r="O333" s="16"/>
    </row>
    <row r="334">
      <c r="A334" s="18"/>
      <c r="B334" s="16"/>
      <c r="C334" s="16"/>
      <c r="D334" s="16"/>
      <c r="E334" s="16"/>
      <c r="F334" s="199"/>
      <c r="G334" s="16"/>
      <c r="H334" s="16"/>
      <c r="I334" s="16"/>
      <c r="J334" s="16"/>
      <c r="K334" s="295" t="s">
        <v>60</v>
      </c>
      <c r="L334" s="297" t="s">
        <v>60</v>
      </c>
      <c r="M334" s="16"/>
      <c r="N334" s="16"/>
      <c r="O334" s="16"/>
    </row>
    <row r="335">
      <c r="A335" s="18"/>
      <c r="B335" s="16"/>
      <c r="C335" s="16"/>
      <c r="D335" s="16"/>
      <c r="E335" s="16"/>
      <c r="F335" s="199"/>
      <c r="G335" s="16"/>
      <c r="H335" s="16"/>
      <c r="I335" s="16"/>
      <c r="J335" s="16"/>
      <c r="K335" s="295" t="s">
        <v>60</v>
      </c>
      <c r="L335" s="297" t="s">
        <v>60</v>
      </c>
      <c r="M335" s="16"/>
      <c r="N335" s="16"/>
      <c r="O335" s="16"/>
    </row>
    <row r="336">
      <c r="A336" s="18"/>
      <c r="B336" s="16"/>
      <c r="C336" s="16"/>
      <c r="D336" s="16"/>
      <c r="E336" s="16"/>
      <c r="F336" s="199"/>
      <c r="G336" s="16"/>
      <c r="H336" s="16"/>
      <c r="I336" s="16"/>
      <c r="J336" s="16"/>
      <c r="K336" s="295" t="s">
        <v>60</v>
      </c>
      <c r="L336" s="297" t="s">
        <v>60</v>
      </c>
      <c r="M336" s="16"/>
      <c r="N336" s="16"/>
      <c r="O336" s="16"/>
    </row>
    <row r="337">
      <c r="A337" s="18"/>
      <c r="B337" s="16"/>
      <c r="C337" s="16"/>
      <c r="D337" s="16"/>
      <c r="E337" s="16"/>
      <c r="F337" s="199"/>
      <c r="G337" s="16"/>
      <c r="H337" s="16"/>
      <c r="I337" s="16"/>
      <c r="J337" s="16"/>
      <c r="K337" s="295" t="s">
        <v>60</v>
      </c>
      <c r="L337" s="297" t="s">
        <v>60</v>
      </c>
      <c r="M337" s="16"/>
      <c r="N337" s="16"/>
      <c r="O337" s="16"/>
    </row>
    <row r="338">
      <c r="A338" s="18"/>
      <c r="B338" s="16"/>
      <c r="C338" s="16"/>
      <c r="D338" s="16"/>
      <c r="E338" s="16"/>
      <c r="F338" s="199"/>
      <c r="G338" s="16"/>
      <c r="H338" s="16"/>
      <c r="I338" s="16"/>
      <c r="J338" s="16"/>
      <c r="K338" s="295" t="s">
        <v>60</v>
      </c>
      <c r="L338" s="297" t="s">
        <v>60</v>
      </c>
      <c r="M338" s="16"/>
      <c r="N338" s="16"/>
      <c r="O338" s="16"/>
    </row>
    <row r="339">
      <c r="A339" s="18"/>
      <c r="B339" s="16"/>
      <c r="C339" s="16"/>
      <c r="D339" s="16"/>
      <c r="E339" s="16"/>
      <c r="F339" s="199"/>
      <c r="G339" s="16"/>
      <c r="H339" s="16"/>
      <c r="I339" s="16"/>
      <c r="J339" s="16"/>
      <c r="K339" s="295" t="s">
        <v>60</v>
      </c>
      <c r="L339" s="297" t="s">
        <v>60</v>
      </c>
      <c r="M339" s="16"/>
      <c r="N339" s="16"/>
      <c r="O339" s="16"/>
    </row>
    <row r="340">
      <c r="A340" s="18"/>
      <c r="B340" s="16"/>
      <c r="C340" s="16"/>
      <c r="D340" s="16"/>
      <c r="E340" s="16"/>
      <c r="F340" s="199"/>
      <c r="G340" s="16"/>
      <c r="H340" s="16"/>
      <c r="I340" s="16"/>
      <c r="J340" s="16"/>
      <c r="K340" s="295" t="s">
        <v>60</v>
      </c>
      <c r="L340" s="297" t="s">
        <v>60</v>
      </c>
      <c r="M340" s="16"/>
      <c r="N340" s="16"/>
      <c r="O340" s="16"/>
    </row>
    <row r="341">
      <c r="A341" s="18"/>
      <c r="B341" s="16"/>
      <c r="C341" s="16"/>
      <c r="D341" s="16"/>
      <c r="E341" s="16"/>
      <c r="F341" s="199"/>
      <c r="G341" s="16"/>
      <c r="H341" s="16"/>
      <c r="I341" s="16"/>
      <c r="J341" s="16"/>
      <c r="K341" s="295" t="s">
        <v>60</v>
      </c>
      <c r="L341" s="297" t="s">
        <v>60</v>
      </c>
      <c r="M341" s="16"/>
      <c r="N341" s="16"/>
      <c r="O341" s="16"/>
    </row>
    <row r="342">
      <c r="A342" s="18"/>
      <c r="B342" s="16"/>
      <c r="C342" s="16"/>
      <c r="D342" s="16"/>
      <c r="E342" s="16"/>
      <c r="F342" s="199"/>
      <c r="G342" s="16"/>
      <c r="H342" s="16"/>
      <c r="I342" s="16"/>
      <c r="J342" s="16"/>
      <c r="K342" s="295" t="s">
        <v>60</v>
      </c>
      <c r="L342" s="297" t="s">
        <v>60</v>
      </c>
      <c r="M342" s="16"/>
      <c r="N342" s="16"/>
      <c r="O342" s="16"/>
    </row>
    <row r="343">
      <c r="A343" s="18"/>
      <c r="B343" s="16"/>
      <c r="C343" s="16"/>
      <c r="D343" s="16"/>
      <c r="E343" s="16"/>
      <c r="F343" s="199"/>
      <c r="G343" s="16"/>
      <c r="H343" s="16"/>
      <c r="I343" s="16"/>
      <c r="J343" s="16"/>
      <c r="K343" s="295" t="s">
        <v>60</v>
      </c>
      <c r="L343" s="297" t="s">
        <v>60</v>
      </c>
      <c r="M343" s="16"/>
      <c r="N343" s="16"/>
      <c r="O343" s="16"/>
    </row>
    <row r="344">
      <c r="A344" s="18"/>
      <c r="B344" s="16"/>
      <c r="C344" s="16"/>
      <c r="D344" s="16"/>
      <c r="E344" s="16"/>
      <c r="F344" s="199"/>
      <c r="G344" s="16"/>
      <c r="H344" s="16"/>
      <c r="I344" s="16"/>
      <c r="J344" s="16"/>
      <c r="K344" s="295" t="s">
        <v>60</v>
      </c>
      <c r="L344" s="297" t="s">
        <v>60</v>
      </c>
      <c r="M344" s="16"/>
      <c r="N344" s="16"/>
      <c r="O344" s="16"/>
    </row>
    <row r="345">
      <c r="A345" s="18"/>
      <c r="B345" s="16"/>
      <c r="C345" s="16"/>
      <c r="D345" s="16"/>
      <c r="E345" s="16"/>
      <c r="F345" s="199"/>
      <c r="G345" s="16"/>
      <c r="H345" s="16"/>
      <c r="I345" s="16"/>
      <c r="J345" s="16"/>
      <c r="K345" s="295" t="s">
        <v>60</v>
      </c>
      <c r="L345" s="297" t="s">
        <v>60</v>
      </c>
      <c r="M345" s="16"/>
      <c r="N345" s="16"/>
      <c r="O345" s="16"/>
    </row>
    <row r="346">
      <c r="A346" s="18"/>
      <c r="B346" s="16"/>
      <c r="C346" s="16"/>
      <c r="D346" s="16"/>
      <c r="E346" s="16"/>
      <c r="F346" s="199"/>
      <c r="G346" s="16"/>
      <c r="H346" s="16"/>
      <c r="I346" s="16"/>
      <c r="J346" s="16"/>
      <c r="K346" s="295" t="s">
        <v>60</v>
      </c>
      <c r="L346" s="297" t="s">
        <v>60</v>
      </c>
      <c r="M346" s="16"/>
      <c r="N346" s="16"/>
      <c r="O346" s="16"/>
    </row>
    <row r="347">
      <c r="A347" s="18"/>
      <c r="B347" s="16"/>
      <c r="C347" s="16"/>
      <c r="D347" s="16"/>
      <c r="E347" s="16"/>
      <c r="F347" s="199"/>
      <c r="G347" s="16"/>
      <c r="H347" s="16"/>
      <c r="I347" s="16"/>
      <c r="J347" s="16"/>
      <c r="K347" s="295" t="s">
        <v>60</v>
      </c>
      <c r="L347" s="297" t="s">
        <v>60</v>
      </c>
      <c r="M347" s="16"/>
      <c r="N347" s="16"/>
      <c r="O347" s="16"/>
    </row>
    <row r="348">
      <c r="A348" s="18"/>
      <c r="B348" s="16"/>
      <c r="C348" s="16"/>
      <c r="D348" s="16"/>
      <c r="E348" s="16"/>
      <c r="F348" s="199"/>
      <c r="G348" s="16"/>
      <c r="H348" s="16"/>
      <c r="I348" s="16"/>
      <c r="J348" s="16"/>
      <c r="K348" s="295" t="s">
        <v>60</v>
      </c>
      <c r="L348" s="297" t="s">
        <v>60</v>
      </c>
      <c r="M348" s="16"/>
      <c r="N348" s="16"/>
      <c r="O348" s="16"/>
    </row>
    <row r="349">
      <c r="A349" s="18"/>
      <c r="B349" s="16"/>
      <c r="C349" s="16"/>
      <c r="D349" s="16"/>
      <c r="E349" s="16"/>
      <c r="F349" s="199"/>
      <c r="G349" s="16"/>
      <c r="H349" s="16"/>
      <c r="I349" s="16"/>
      <c r="J349" s="16"/>
      <c r="K349" s="295" t="s">
        <v>60</v>
      </c>
      <c r="L349" s="297" t="s">
        <v>60</v>
      </c>
      <c r="M349" s="16"/>
      <c r="N349" s="16"/>
      <c r="O349" s="16"/>
    </row>
    <row r="350">
      <c r="A350" s="18"/>
      <c r="B350" s="16"/>
      <c r="C350" s="16"/>
      <c r="D350" s="16"/>
      <c r="E350" s="16"/>
      <c r="F350" s="199"/>
      <c r="G350" s="16"/>
      <c r="H350" s="16"/>
      <c r="I350" s="16"/>
      <c r="J350" s="16"/>
      <c r="K350" s="295" t="s">
        <v>60</v>
      </c>
      <c r="L350" s="297" t="s">
        <v>60</v>
      </c>
      <c r="M350" s="16"/>
      <c r="N350" s="16"/>
      <c r="O350" s="16"/>
    </row>
    <row r="351">
      <c r="A351" s="18"/>
      <c r="B351" s="16"/>
      <c r="C351" s="16"/>
      <c r="D351" s="16"/>
      <c r="E351" s="16"/>
      <c r="F351" s="199"/>
      <c r="G351" s="16"/>
      <c r="H351" s="16"/>
      <c r="I351" s="16"/>
      <c r="J351" s="16"/>
      <c r="K351" s="295" t="s">
        <v>60</v>
      </c>
      <c r="L351" s="297" t="s">
        <v>60</v>
      </c>
      <c r="M351" s="16"/>
      <c r="N351" s="16"/>
      <c r="O351" s="16"/>
    </row>
    <row r="352">
      <c r="A352" s="18"/>
      <c r="B352" s="16"/>
      <c r="C352" s="16"/>
      <c r="D352" s="16"/>
      <c r="E352" s="16"/>
      <c r="F352" s="199"/>
      <c r="G352" s="16"/>
      <c r="H352" s="16"/>
      <c r="I352" s="16"/>
      <c r="J352" s="16"/>
      <c r="K352" s="295" t="s">
        <v>60</v>
      </c>
      <c r="L352" s="297" t="s">
        <v>60</v>
      </c>
      <c r="M352" s="16"/>
      <c r="N352" s="16"/>
      <c r="O352" s="16"/>
    </row>
    <row r="353">
      <c r="A353" s="18"/>
      <c r="B353" s="16"/>
      <c r="C353" s="16"/>
      <c r="D353" s="16"/>
      <c r="E353" s="16"/>
      <c r="F353" s="199"/>
      <c r="G353" s="16"/>
      <c r="H353" s="16"/>
      <c r="I353" s="16"/>
      <c r="J353" s="16"/>
      <c r="K353" s="295" t="s">
        <v>60</v>
      </c>
      <c r="L353" s="297" t="s">
        <v>60</v>
      </c>
      <c r="M353" s="16"/>
      <c r="N353" s="16"/>
      <c r="O353" s="16"/>
    </row>
    <row r="354">
      <c r="A354" s="18"/>
      <c r="B354" s="16"/>
      <c r="C354" s="16"/>
      <c r="D354" s="16"/>
      <c r="E354" s="16"/>
      <c r="F354" s="199"/>
      <c r="G354" s="16"/>
      <c r="H354" s="16"/>
      <c r="I354" s="16"/>
      <c r="J354" s="16"/>
      <c r="K354" s="295" t="s">
        <v>60</v>
      </c>
      <c r="L354" s="297" t="s">
        <v>60</v>
      </c>
      <c r="M354" s="16"/>
      <c r="N354" s="16"/>
      <c r="O354" s="16"/>
    </row>
    <row r="355">
      <c r="A355" s="18"/>
      <c r="B355" s="16"/>
      <c r="C355" s="16"/>
      <c r="D355" s="16"/>
      <c r="E355" s="16"/>
      <c r="F355" s="199"/>
      <c r="G355" s="16"/>
      <c r="H355" s="16"/>
      <c r="I355" s="16"/>
      <c r="J355" s="16"/>
      <c r="K355" s="295" t="s">
        <v>60</v>
      </c>
      <c r="L355" s="297" t="s">
        <v>60</v>
      </c>
      <c r="M355" s="16"/>
      <c r="N355" s="16"/>
      <c r="O355" s="16"/>
    </row>
    <row r="356">
      <c r="A356" s="18"/>
      <c r="B356" s="16"/>
      <c r="C356" s="16"/>
      <c r="D356" s="16"/>
      <c r="E356" s="16"/>
      <c r="F356" s="199"/>
      <c r="G356" s="16"/>
      <c r="H356" s="16"/>
      <c r="I356" s="16"/>
      <c r="J356" s="16"/>
      <c r="K356" s="295" t="s">
        <v>60</v>
      </c>
      <c r="L356" s="297" t="s">
        <v>60</v>
      </c>
      <c r="M356" s="16"/>
      <c r="N356" s="16"/>
      <c r="O356" s="16"/>
    </row>
    <row r="357">
      <c r="A357" s="18"/>
      <c r="B357" s="16"/>
      <c r="C357" s="16"/>
      <c r="D357" s="16"/>
      <c r="E357" s="16"/>
      <c r="F357" s="199"/>
      <c r="G357" s="16"/>
      <c r="H357" s="16"/>
      <c r="I357" s="16"/>
      <c r="J357" s="16"/>
      <c r="K357" s="295" t="s">
        <v>60</v>
      </c>
      <c r="L357" s="297" t="s">
        <v>60</v>
      </c>
      <c r="M357" s="16"/>
      <c r="N357" s="16"/>
      <c r="O357" s="16"/>
    </row>
    <row r="358">
      <c r="A358" s="18"/>
      <c r="B358" s="16"/>
      <c r="C358" s="16"/>
      <c r="D358" s="16"/>
      <c r="E358" s="16"/>
      <c r="F358" s="199"/>
      <c r="G358" s="16"/>
      <c r="H358" s="16"/>
      <c r="I358" s="16"/>
      <c r="J358" s="16"/>
      <c r="K358" s="295" t="s">
        <v>60</v>
      </c>
      <c r="L358" s="297" t="s">
        <v>60</v>
      </c>
      <c r="M358" s="16"/>
      <c r="N358" s="16"/>
      <c r="O358" s="16"/>
    </row>
    <row r="359">
      <c r="A359" s="18"/>
      <c r="B359" s="16"/>
      <c r="C359" s="16"/>
      <c r="D359" s="16"/>
      <c r="E359" s="16"/>
      <c r="F359" s="199"/>
      <c r="G359" s="16"/>
      <c r="H359" s="16"/>
      <c r="I359" s="16"/>
      <c r="J359" s="16"/>
      <c r="K359" s="295" t="s">
        <v>60</v>
      </c>
      <c r="L359" s="297" t="s">
        <v>60</v>
      </c>
      <c r="M359" s="16"/>
      <c r="N359" s="16"/>
      <c r="O359" s="16"/>
    </row>
    <row r="360">
      <c r="A360" s="18"/>
      <c r="B360" s="16"/>
      <c r="C360" s="16"/>
      <c r="D360" s="16"/>
      <c r="E360" s="16"/>
      <c r="F360" s="199"/>
      <c r="G360" s="16"/>
      <c r="H360" s="16"/>
      <c r="I360" s="16"/>
      <c r="J360" s="16"/>
      <c r="K360" s="295" t="s">
        <v>60</v>
      </c>
      <c r="L360" s="297" t="s">
        <v>60</v>
      </c>
      <c r="M360" s="16"/>
      <c r="N360" s="16"/>
      <c r="O360" s="16"/>
    </row>
    <row r="361">
      <c r="A361" s="18"/>
      <c r="B361" s="16"/>
      <c r="C361" s="16"/>
      <c r="D361" s="16"/>
      <c r="E361" s="16"/>
      <c r="F361" s="199"/>
      <c r="G361" s="16"/>
      <c r="H361" s="16"/>
      <c r="I361" s="16"/>
      <c r="J361" s="16"/>
      <c r="K361" s="295" t="s">
        <v>60</v>
      </c>
      <c r="L361" s="297" t="s">
        <v>60</v>
      </c>
      <c r="M361" s="16"/>
      <c r="N361" s="16"/>
      <c r="O361" s="16"/>
    </row>
    <row r="362">
      <c r="A362" s="18"/>
      <c r="B362" s="16"/>
      <c r="C362" s="16"/>
      <c r="D362" s="16"/>
      <c r="E362" s="16"/>
      <c r="F362" s="199"/>
      <c r="G362" s="16"/>
      <c r="H362" s="16"/>
      <c r="I362" s="16"/>
      <c r="J362" s="16"/>
      <c r="K362" s="295" t="s">
        <v>60</v>
      </c>
      <c r="L362" s="297" t="s">
        <v>60</v>
      </c>
      <c r="M362" s="16"/>
      <c r="N362" s="16"/>
      <c r="O362" s="16"/>
    </row>
    <row r="363">
      <c r="A363" s="18"/>
      <c r="B363" s="16"/>
      <c r="C363" s="16"/>
      <c r="D363" s="16"/>
      <c r="E363" s="16"/>
      <c r="F363" s="199"/>
      <c r="G363" s="16"/>
      <c r="H363" s="16"/>
      <c r="I363" s="16"/>
      <c r="J363" s="16"/>
      <c r="K363" s="295" t="s">
        <v>60</v>
      </c>
      <c r="L363" s="297" t="s">
        <v>60</v>
      </c>
      <c r="M363" s="16"/>
      <c r="N363" s="16"/>
      <c r="O363" s="16"/>
    </row>
    <row r="364">
      <c r="A364" s="18"/>
      <c r="B364" s="16"/>
      <c r="C364" s="16"/>
      <c r="D364" s="16"/>
      <c r="E364" s="16"/>
      <c r="F364" s="199"/>
      <c r="G364" s="16"/>
      <c r="H364" s="16"/>
      <c r="I364" s="16"/>
      <c r="J364" s="16"/>
      <c r="K364" s="295" t="s">
        <v>60</v>
      </c>
      <c r="L364" s="297" t="s">
        <v>60</v>
      </c>
      <c r="M364" s="16"/>
      <c r="N364" s="16"/>
      <c r="O364" s="16"/>
    </row>
    <row r="365">
      <c r="A365" s="18"/>
      <c r="B365" s="16"/>
      <c r="C365" s="16"/>
      <c r="D365" s="16"/>
      <c r="E365" s="16"/>
      <c r="F365" s="199"/>
      <c r="G365" s="16"/>
      <c r="H365" s="16"/>
      <c r="I365" s="16"/>
      <c r="J365" s="16"/>
      <c r="K365" s="295" t="s">
        <v>60</v>
      </c>
      <c r="L365" s="297" t="s">
        <v>60</v>
      </c>
      <c r="M365" s="16"/>
      <c r="N365" s="16"/>
      <c r="O365" s="16"/>
    </row>
    <row r="366">
      <c r="A366" s="18"/>
      <c r="B366" s="16"/>
      <c r="C366" s="16"/>
      <c r="D366" s="16"/>
      <c r="E366" s="16"/>
      <c r="F366" s="199"/>
      <c r="G366" s="16"/>
      <c r="H366" s="16"/>
      <c r="I366" s="16"/>
      <c r="J366" s="16"/>
      <c r="K366" s="295" t="s">
        <v>60</v>
      </c>
      <c r="L366" s="297" t="s">
        <v>60</v>
      </c>
      <c r="M366" s="16"/>
      <c r="N366" s="16"/>
      <c r="O366" s="16"/>
    </row>
    <row r="367">
      <c r="A367" s="18"/>
      <c r="B367" s="16"/>
      <c r="C367" s="16"/>
      <c r="D367" s="16"/>
      <c r="E367" s="16"/>
      <c r="F367" s="199"/>
      <c r="G367" s="16"/>
      <c r="H367" s="16"/>
      <c r="I367" s="16"/>
      <c r="J367" s="16"/>
      <c r="K367" s="295" t="s">
        <v>60</v>
      </c>
      <c r="L367" s="297" t="s">
        <v>60</v>
      </c>
      <c r="M367" s="16"/>
      <c r="N367" s="16"/>
      <c r="O367" s="16"/>
    </row>
    <row r="368">
      <c r="A368" s="18"/>
      <c r="B368" s="16"/>
      <c r="C368" s="16"/>
      <c r="D368" s="16"/>
      <c r="E368" s="16"/>
      <c r="F368" s="199"/>
      <c r="G368" s="16"/>
      <c r="H368" s="16"/>
      <c r="I368" s="16"/>
      <c r="J368" s="16"/>
      <c r="K368" s="295" t="s">
        <v>60</v>
      </c>
      <c r="L368" s="297" t="s">
        <v>60</v>
      </c>
      <c r="M368" s="16"/>
      <c r="N368" s="16"/>
      <c r="O368" s="16"/>
    </row>
    <row r="369">
      <c r="A369" s="18"/>
      <c r="B369" s="16"/>
      <c r="C369" s="16"/>
      <c r="D369" s="16"/>
      <c r="E369" s="16"/>
      <c r="F369" s="199"/>
      <c r="G369" s="16"/>
      <c r="H369" s="16"/>
      <c r="I369" s="16"/>
      <c r="J369" s="16"/>
      <c r="K369" s="295" t="s">
        <v>60</v>
      </c>
      <c r="L369" s="297" t="s">
        <v>60</v>
      </c>
      <c r="M369" s="16"/>
      <c r="N369" s="16"/>
      <c r="O369" s="16"/>
    </row>
    <row r="370">
      <c r="A370" s="18"/>
      <c r="B370" s="16"/>
      <c r="C370" s="16"/>
      <c r="D370" s="16"/>
      <c r="E370" s="16"/>
      <c r="F370" s="199"/>
      <c r="G370" s="16"/>
      <c r="H370" s="16"/>
      <c r="I370" s="16"/>
      <c r="J370" s="16"/>
      <c r="K370" s="295" t="s">
        <v>60</v>
      </c>
      <c r="L370" s="297" t="s">
        <v>60</v>
      </c>
      <c r="M370" s="16"/>
      <c r="N370" s="16"/>
      <c r="O370" s="16"/>
    </row>
    <row r="371">
      <c r="A371" s="18"/>
      <c r="B371" s="16"/>
      <c r="C371" s="16"/>
      <c r="D371" s="16"/>
      <c r="E371" s="16"/>
      <c r="F371" s="199"/>
      <c r="G371" s="16"/>
      <c r="H371" s="16"/>
      <c r="I371" s="16"/>
      <c r="J371" s="16"/>
      <c r="K371" s="295" t="s">
        <v>60</v>
      </c>
      <c r="L371" s="297" t="s">
        <v>60</v>
      </c>
      <c r="M371" s="16"/>
      <c r="N371" s="16"/>
      <c r="O371" s="16"/>
    </row>
    <row r="372">
      <c r="A372" s="18"/>
      <c r="B372" s="16"/>
      <c r="C372" s="16"/>
      <c r="D372" s="16"/>
      <c r="E372" s="16"/>
      <c r="F372" s="199"/>
      <c r="G372" s="16"/>
      <c r="H372" s="16"/>
      <c r="I372" s="16"/>
      <c r="J372" s="16"/>
      <c r="K372" s="295" t="s">
        <v>60</v>
      </c>
      <c r="L372" s="297" t="s">
        <v>60</v>
      </c>
      <c r="M372" s="16"/>
      <c r="N372" s="16"/>
      <c r="O372" s="16"/>
    </row>
    <row r="373">
      <c r="A373" s="18"/>
      <c r="B373" s="16"/>
      <c r="C373" s="16"/>
      <c r="D373" s="16"/>
      <c r="E373" s="16"/>
      <c r="F373" s="199"/>
      <c r="G373" s="16"/>
      <c r="H373" s="16"/>
      <c r="I373" s="16"/>
      <c r="J373" s="16"/>
      <c r="K373" s="295" t="s">
        <v>60</v>
      </c>
      <c r="L373" s="297" t="s">
        <v>60</v>
      </c>
      <c r="M373" s="16"/>
      <c r="N373" s="16"/>
      <c r="O373" s="16"/>
    </row>
    <row r="374">
      <c r="A374" s="18"/>
      <c r="B374" s="16"/>
      <c r="C374" s="16"/>
      <c r="D374" s="16"/>
      <c r="E374" s="16"/>
      <c r="F374" s="199"/>
      <c r="G374" s="16"/>
      <c r="H374" s="16"/>
      <c r="I374" s="16"/>
      <c r="J374" s="16"/>
      <c r="K374" s="295" t="s">
        <v>60</v>
      </c>
      <c r="L374" s="297" t="s">
        <v>60</v>
      </c>
      <c r="M374" s="16"/>
      <c r="N374" s="16"/>
      <c r="O374" s="16"/>
    </row>
    <row r="375">
      <c r="A375" s="18"/>
      <c r="B375" s="16"/>
      <c r="C375" s="16"/>
      <c r="D375" s="16"/>
      <c r="E375" s="16"/>
      <c r="F375" s="199"/>
      <c r="G375" s="16"/>
      <c r="H375" s="16"/>
      <c r="I375" s="16"/>
      <c r="J375" s="16"/>
      <c r="K375" s="295" t="s">
        <v>60</v>
      </c>
      <c r="L375" s="297" t="s">
        <v>60</v>
      </c>
      <c r="M375" s="16"/>
      <c r="N375" s="16"/>
      <c r="O375" s="16"/>
    </row>
    <row r="376">
      <c r="A376" s="18"/>
      <c r="B376" s="16"/>
      <c r="C376" s="16"/>
      <c r="D376" s="16"/>
      <c r="E376" s="16"/>
      <c r="F376" s="199"/>
      <c r="G376" s="16"/>
      <c r="H376" s="16"/>
      <c r="I376" s="16"/>
      <c r="J376" s="16"/>
      <c r="K376" s="295" t="s">
        <v>60</v>
      </c>
      <c r="L376" s="297" t="s">
        <v>60</v>
      </c>
      <c r="M376" s="16"/>
      <c r="N376" s="16"/>
      <c r="O376" s="16"/>
    </row>
    <row r="377">
      <c r="A377" s="18"/>
      <c r="B377" s="16"/>
      <c r="C377" s="16"/>
      <c r="D377" s="16"/>
      <c r="E377" s="16"/>
      <c r="F377" s="199"/>
      <c r="G377" s="16"/>
      <c r="H377" s="16"/>
      <c r="I377" s="16"/>
      <c r="J377" s="16"/>
      <c r="K377" s="295" t="s">
        <v>60</v>
      </c>
      <c r="L377" s="297" t="s">
        <v>60</v>
      </c>
      <c r="M377" s="16"/>
      <c r="N377" s="16"/>
      <c r="O377" s="16"/>
    </row>
    <row r="378">
      <c r="A378" s="18"/>
      <c r="B378" s="16"/>
      <c r="C378" s="16"/>
      <c r="D378" s="16"/>
      <c r="E378" s="16"/>
      <c r="F378" s="199"/>
      <c r="G378" s="16"/>
      <c r="H378" s="16"/>
      <c r="I378" s="16"/>
      <c r="J378" s="16"/>
      <c r="K378" s="295" t="s">
        <v>60</v>
      </c>
      <c r="L378" s="297" t="s">
        <v>60</v>
      </c>
      <c r="M378" s="16"/>
      <c r="N378" s="16"/>
      <c r="O378" s="16"/>
    </row>
    <row r="379">
      <c r="A379" s="18"/>
      <c r="B379" s="16"/>
      <c r="C379" s="16"/>
      <c r="D379" s="16"/>
      <c r="E379" s="16"/>
      <c r="F379" s="199"/>
      <c r="G379" s="16"/>
      <c r="H379" s="16"/>
      <c r="I379" s="16"/>
      <c r="J379" s="16"/>
      <c r="K379" s="295" t="s">
        <v>60</v>
      </c>
      <c r="L379" s="297" t="s">
        <v>60</v>
      </c>
      <c r="M379" s="16"/>
      <c r="N379" s="16"/>
      <c r="O379" s="16"/>
    </row>
    <row r="380">
      <c r="A380" s="18"/>
      <c r="B380" s="16"/>
      <c r="C380" s="16"/>
      <c r="D380" s="16"/>
      <c r="E380" s="16"/>
      <c r="F380" s="199"/>
      <c r="G380" s="16"/>
      <c r="H380" s="16"/>
      <c r="I380" s="16"/>
      <c r="J380" s="16"/>
      <c r="K380" s="295" t="s">
        <v>60</v>
      </c>
      <c r="L380" s="297" t="s">
        <v>60</v>
      </c>
      <c r="M380" s="16"/>
      <c r="N380" s="16"/>
      <c r="O380" s="16"/>
    </row>
    <row r="381">
      <c r="A381" s="18"/>
      <c r="B381" s="16"/>
      <c r="C381" s="16"/>
      <c r="D381" s="16"/>
      <c r="E381" s="16"/>
      <c r="F381" s="199"/>
      <c r="G381" s="16"/>
      <c r="H381" s="16"/>
      <c r="I381" s="16"/>
      <c r="J381" s="16"/>
      <c r="K381" s="295" t="s">
        <v>60</v>
      </c>
      <c r="L381" s="297" t="s">
        <v>60</v>
      </c>
      <c r="M381" s="16"/>
      <c r="N381" s="16"/>
      <c r="O381" s="16"/>
    </row>
    <row r="382">
      <c r="A382" s="18"/>
      <c r="B382" s="16"/>
      <c r="C382" s="16"/>
      <c r="D382" s="16"/>
      <c r="E382" s="16"/>
      <c r="F382" s="199"/>
      <c r="G382" s="16"/>
      <c r="H382" s="16"/>
      <c r="I382" s="16"/>
      <c r="J382" s="16"/>
      <c r="K382" s="295" t="s">
        <v>60</v>
      </c>
      <c r="L382" s="297" t="s">
        <v>60</v>
      </c>
      <c r="M382" s="16"/>
      <c r="N382" s="16"/>
      <c r="O382" s="16"/>
    </row>
    <row r="383">
      <c r="A383" s="18"/>
      <c r="B383" s="16"/>
      <c r="C383" s="16"/>
      <c r="D383" s="16"/>
      <c r="E383" s="16"/>
      <c r="F383" s="199"/>
      <c r="G383" s="16"/>
      <c r="H383" s="16"/>
      <c r="I383" s="16"/>
      <c r="J383" s="16"/>
      <c r="K383" s="295" t="s">
        <v>60</v>
      </c>
      <c r="L383" s="297" t="s">
        <v>60</v>
      </c>
      <c r="M383" s="16"/>
      <c r="N383" s="16"/>
      <c r="O383" s="16"/>
    </row>
    <row r="384">
      <c r="A384" s="18"/>
      <c r="B384" s="16"/>
      <c r="C384" s="16"/>
      <c r="D384" s="16"/>
      <c r="E384" s="16"/>
      <c r="F384" s="199"/>
      <c r="G384" s="16"/>
      <c r="H384" s="16"/>
      <c r="I384" s="16"/>
      <c r="J384" s="16"/>
      <c r="K384" s="295" t="s">
        <v>60</v>
      </c>
      <c r="L384" s="297" t="s">
        <v>60</v>
      </c>
      <c r="M384" s="16"/>
      <c r="N384" s="16"/>
      <c r="O384" s="16"/>
    </row>
    <row r="385">
      <c r="A385" s="18"/>
      <c r="B385" s="16"/>
      <c r="C385" s="16"/>
      <c r="D385" s="16"/>
      <c r="E385" s="16"/>
      <c r="F385" s="199"/>
      <c r="G385" s="16"/>
      <c r="H385" s="16"/>
      <c r="I385" s="16"/>
      <c r="J385" s="16"/>
      <c r="K385" s="295" t="s">
        <v>60</v>
      </c>
      <c r="L385" s="297" t="s">
        <v>60</v>
      </c>
      <c r="M385" s="16"/>
      <c r="N385" s="16"/>
      <c r="O385" s="16"/>
    </row>
    <row r="386">
      <c r="A386" s="18"/>
      <c r="B386" s="16"/>
      <c r="C386" s="16"/>
      <c r="D386" s="16"/>
      <c r="E386" s="16"/>
      <c r="F386" s="199"/>
      <c r="G386" s="16"/>
      <c r="H386" s="16"/>
      <c r="I386" s="16"/>
      <c r="J386" s="16"/>
      <c r="K386" s="295" t="s">
        <v>60</v>
      </c>
      <c r="L386" s="297" t="s">
        <v>60</v>
      </c>
      <c r="M386" s="16"/>
      <c r="N386" s="16"/>
      <c r="O386" s="16"/>
    </row>
    <row r="387">
      <c r="A387" s="18"/>
      <c r="B387" s="16"/>
      <c r="C387" s="16"/>
      <c r="D387" s="16"/>
      <c r="E387" s="16"/>
      <c r="F387" s="199"/>
      <c r="G387" s="16"/>
      <c r="H387" s="16"/>
      <c r="I387" s="16"/>
      <c r="J387" s="16"/>
      <c r="K387" s="295" t="s">
        <v>60</v>
      </c>
      <c r="L387" s="297" t="s">
        <v>60</v>
      </c>
      <c r="M387" s="16"/>
      <c r="N387" s="16"/>
      <c r="O387" s="16"/>
    </row>
    <row r="388">
      <c r="A388" s="18"/>
      <c r="B388" s="16"/>
      <c r="C388" s="16"/>
      <c r="D388" s="16"/>
      <c r="E388" s="16"/>
      <c r="F388" s="199"/>
      <c r="G388" s="16"/>
      <c r="H388" s="16"/>
      <c r="I388" s="16"/>
      <c r="J388" s="16"/>
      <c r="K388" s="295" t="s">
        <v>60</v>
      </c>
      <c r="L388" s="297" t="s">
        <v>60</v>
      </c>
      <c r="M388" s="16"/>
      <c r="N388" s="16"/>
      <c r="O388" s="16"/>
    </row>
    <row r="389">
      <c r="A389" s="18"/>
      <c r="B389" s="16"/>
      <c r="C389" s="16"/>
      <c r="D389" s="16"/>
      <c r="E389" s="16"/>
      <c r="F389" s="199"/>
      <c r="G389" s="16"/>
      <c r="H389" s="16"/>
      <c r="I389" s="16"/>
      <c r="J389" s="16"/>
      <c r="K389" s="295" t="s">
        <v>60</v>
      </c>
      <c r="L389" s="297" t="s">
        <v>60</v>
      </c>
      <c r="M389" s="16"/>
      <c r="N389" s="16"/>
      <c r="O389" s="16"/>
    </row>
    <row r="390">
      <c r="A390" s="18"/>
      <c r="B390" s="16"/>
      <c r="C390" s="16"/>
      <c r="D390" s="16"/>
      <c r="E390" s="16"/>
      <c r="F390" s="199"/>
      <c r="G390" s="16"/>
      <c r="H390" s="16"/>
      <c r="I390" s="16"/>
      <c r="J390" s="16"/>
      <c r="K390" s="295" t="s">
        <v>60</v>
      </c>
      <c r="L390" s="297" t="s">
        <v>60</v>
      </c>
      <c r="M390" s="16"/>
      <c r="N390" s="16"/>
      <c r="O390" s="16"/>
    </row>
    <row r="391">
      <c r="A391" s="18"/>
      <c r="B391" s="16"/>
      <c r="C391" s="16"/>
      <c r="D391" s="16"/>
      <c r="E391" s="16"/>
      <c r="F391" s="199"/>
      <c r="G391" s="16"/>
      <c r="H391" s="16"/>
      <c r="I391" s="16"/>
      <c r="J391" s="16"/>
      <c r="K391" s="295" t="s">
        <v>60</v>
      </c>
      <c r="L391" s="297" t="s">
        <v>60</v>
      </c>
      <c r="M391" s="16"/>
      <c r="N391" s="16"/>
      <c r="O391" s="16"/>
    </row>
    <row r="392">
      <c r="A392" s="18"/>
      <c r="B392" s="16"/>
      <c r="C392" s="16"/>
      <c r="D392" s="16"/>
      <c r="E392" s="16"/>
      <c r="F392" s="199"/>
      <c r="G392" s="16"/>
      <c r="H392" s="16"/>
      <c r="I392" s="16"/>
      <c r="J392" s="16"/>
      <c r="K392" s="295" t="s">
        <v>60</v>
      </c>
      <c r="L392" s="297" t="s">
        <v>60</v>
      </c>
      <c r="M392" s="16"/>
      <c r="N392" s="16"/>
      <c r="O392" s="16"/>
    </row>
    <row r="393">
      <c r="A393" s="18"/>
      <c r="B393" s="16"/>
      <c r="C393" s="16"/>
      <c r="D393" s="16"/>
      <c r="E393" s="16"/>
      <c r="F393" s="199"/>
      <c r="G393" s="16"/>
      <c r="H393" s="16"/>
      <c r="I393" s="16"/>
      <c r="J393" s="16"/>
      <c r="K393" s="295" t="s">
        <v>60</v>
      </c>
      <c r="L393" s="297" t="s">
        <v>60</v>
      </c>
      <c r="M393" s="16"/>
      <c r="N393" s="16"/>
      <c r="O393" s="16"/>
    </row>
    <row r="394">
      <c r="A394" s="18"/>
      <c r="B394" s="16"/>
      <c r="C394" s="16"/>
      <c r="D394" s="16"/>
      <c r="E394" s="16"/>
      <c r="F394" s="199"/>
      <c r="G394" s="16"/>
      <c r="H394" s="16"/>
      <c r="I394" s="16"/>
      <c r="J394" s="16"/>
      <c r="K394" s="295" t="s">
        <v>60</v>
      </c>
      <c r="L394" s="297" t="s">
        <v>60</v>
      </c>
      <c r="M394" s="16"/>
      <c r="N394" s="16"/>
      <c r="O394" s="16"/>
    </row>
    <row r="395">
      <c r="A395" s="18"/>
      <c r="B395" s="16"/>
      <c r="C395" s="16"/>
      <c r="D395" s="16"/>
      <c r="E395" s="16"/>
      <c r="F395" s="199"/>
      <c r="G395" s="16"/>
      <c r="H395" s="16"/>
      <c r="I395" s="16"/>
      <c r="J395" s="16"/>
      <c r="K395" s="295" t="s">
        <v>60</v>
      </c>
      <c r="L395" s="297" t="s">
        <v>60</v>
      </c>
      <c r="M395" s="16"/>
      <c r="N395" s="16"/>
      <c r="O395" s="16"/>
    </row>
    <row r="396">
      <c r="A396" s="18"/>
      <c r="B396" s="16"/>
      <c r="C396" s="16"/>
      <c r="D396" s="16"/>
      <c r="E396" s="16"/>
      <c r="F396" s="199"/>
      <c r="G396" s="16"/>
      <c r="H396" s="16"/>
      <c r="I396" s="16"/>
      <c r="J396" s="16"/>
      <c r="K396" s="295" t="s">
        <v>60</v>
      </c>
      <c r="L396" s="297" t="s">
        <v>60</v>
      </c>
      <c r="M396" s="16"/>
      <c r="N396" s="16"/>
      <c r="O396" s="16"/>
    </row>
    <row r="397">
      <c r="A397" s="18"/>
      <c r="B397" s="16"/>
      <c r="C397" s="16"/>
      <c r="D397" s="16"/>
      <c r="E397" s="16"/>
      <c r="F397" s="199"/>
      <c r="G397" s="16"/>
      <c r="H397" s="16"/>
      <c r="I397" s="16"/>
      <c r="J397" s="16"/>
      <c r="K397" s="295" t="s">
        <v>60</v>
      </c>
      <c r="L397" s="297" t="s">
        <v>60</v>
      </c>
      <c r="M397" s="16"/>
      <c r="N397" s="16"/>
      <c r="O397" s="16"/>
    </row>
    <row r="398">
      <c r="A398" s="18"/>
      <c r="B398" s="16"/>
      <c r="C398" s="16"/>
      <c r="D398" s="16"/>
      <c r="E398" s="16"/>
      <c r="F398" s="199"/>
      <c r="G398" s="16"/>
      <c r="H398" s="16"/>
      <c r="I398" s="16"/>
      <c r="J398" s="16"/>
      <c r="K398" s="295" t="s">
        <v>60</v>
      </c>
      <c r="L398" s="297" t="s">
        <v>60</v>
      </c>
      <c r="M398" s="16"/>
      <c r="N398" s="16"/>
      <c r="O398" s="16"/>
    </row>
    <row r="399">
      <c r="A399" s="18"/>
      <c r="B399" s="16"/>
      <c r="C399" s="16"/>
      <c r="D399" s="16"/>
      <c r="E399" s="16"/>
      <c r="F399" s="199"/>
      <c r="G399" s="16"/>
      <c r="H399" s="16"/>
      <c r="I399" s="16"/>
      <c r="J399" s="16"/>
      <c r="K399" s="295" t="s">
        <v>60</v>
      </c>
      <c r="L399" s="297" t="s">
        <v>60</v>
      </c>
      <c r="M399" s="16"/>
      <c r="N399" s="16"/>
      <c r="O399" s="16"/>
    </row>
    <row r="400">
      <c r="A400" s="18"/>
      <c r="B400" s="16"/>
      <c r="C400" s="16"/>
      <c r="D400" s="16"/>
      <c r="E400" s="16"/>
      <c r="F400" s="199"/>
      <c r="G400" s="16"/>
      <c r="H400" s="16"/>
      <c r="I400" s="16"/>
      <c r="J400" s="16"/>
      <c r="K400" s="295" t="s">
        <v>60</v>
      </c>
      <c r="L400" s="297" t="s">
        <v>60</v>
      </c>
      <c r="M400" s="16"/>
      <c r="N400" s="16"/>
      <c r="O400" s="16"/>
    </row>
    <row r="401">
      <c r="A401" s="18"/>
      <c r="B401" s="16"/>
      <c r="C401" s="16"/>
      <c r="D401" s="16"/>
      <c r="E401" s="16"/>
      <c r="F401" s="199"/>
      <c r="G401" s="16"/>
      <c r="H401" s="16"/>
      <c r="I401" s="16"/>
      <c r="J401" s="16"/>
      <c r="K401" s="295" t="s">
        <v>60</v>
      </c>
      <c r="L401" s="297" t="s">
        <v>60</v>
      </c>
      <c r="M401" s="16"/>
      <c r="N401" s="16"/>
      <c r="O401" s="16"/>
    </row>
    <row r="402">
      <c r="A402" s="18"/>
      <c r="B402" s="16"/>
      <c r="C402" s="16"/>
      <c r="D402" s="16"/>
      <c r="E402" s="16"/>
      <c r="F402" s="199"/>
      <c r="G402" s="16"/>
      <c r="H402" s="16"/>
      <c r="I402" s="16"/>
      <c r="J402" s="16"/>
      <c r="K402" s="295" t="s">
        <v>60</v>
      </c>
      <c r="L402" s="297" t="s">
        <v>60</v>
      </c>
      <c r="M402" s="16"/>
      <c r="N402" s="16"/>
      <c r="O402" s="16"/>
    </row>
    <row r="403">
      <c r="A403" s="18"/>
      <c r="B403" s="16"/>
      <c r="C403" s="16"/>
      <c r="D403" s="16"/>
      <c r="E403" s="16"/>
      <c r="F403" s="199"/>
      <c r="G403" s="16"/>
      <c r="H403" s="16"/>
      <c r="I403" s="16"/>
      <c r="J403" s="16"/>
      <c r="K403" s="295" t="s">
        <v>60</v>
      </c>
      <c r="L403" s="297" t="s">
        <v>60</v>
      </c>
      <c r="M403" s="16"/>
      <c r="N403" s="16"/>
      <c r="O403" s="16"/>
    </row>
    <row r="404">
      <c r="A404" s="18"/>
      <c r="B404" s="16"/>
      <c r="C404" s="16"/>
      <c r="D404" s="16"/>
      <c r="E404" s="16"/>
      <c r="F404" s="199"/>
      <c r="G404" s="16"/>
      <c r="H404" s="16"/>
      <c r="I404" s="16"/>
      <c r="J404" s="16"/>
      <c r="K404" s="295" t="s">
        <v>60</v>
      </c>
      <c r="L404" s="297" t="s">
        <v>60</v>
      </c>
      <c r="M404" s="16"/>
      <c r="N404" s="16"/>
      <c r="O404" s="16"/>
    </row>
    <row r="405">
      <c r="A405" s="18"/>
      <c r="B405" s="16"/>
      <c r="C405" s="16"/>
      <c r="D405" s="16"/>
      <c r="E405" s="16"/>
      <c r="F405" s="199"/>
      <c r="G405" s="16"/>
      <c r="H405" s="16"/>
      <c r="I405" s="16"/>
      <c r="J405" s="16"/>
      <c r="K405" s="295" t="s">
        <v>60</v>
      </c>
      <c r="L405" s="297" t="s">
        <v>60</v>
      </c>
      <c r="M405" s="16"/>
      <c r="N405" s="16"/>
      <c r="O405" s="16"/>
    </row>
    <row r="406">
      <c r="A406" s="18"/>
      <c r="B406" s="16"/>
      <c r="C406" s="16"/>
      <c r="D406" s="16"/>
      <c r="E406" s="16"/>
      <c r="F406" s="199"/>
      <c r="G406" s="16"/>
      <c r="H406" s="16"/>
      <c r="I406" s="16"/>
      <c r="J406" s="16"/>
      <c r="K406" s="295" t="s">
        <v>60</v>
      </c>
      <c r="L406" s="297" t="s">
        <v>60</v>
      </c>
      <c r="M406" s="16"/>
      <c r="N406" s="16"/>
      <c r="O406" s="16"/>
    </row>
    <row r="407">
      <c r="A407" s="18"/>
      <c r="B407" s="16"/>
      <c r="C407" s="16"/>
      <c r="D407" s="16"/>
      <c r="E407" s="16"/>
      <c r="F407" s="199"/>
      <c r="G407" s="16"/>
      <c r="H407" s="16"/>
      <c r="I407" s="16"/>
      <c r="J407" s="16"/>
      <c r="K407" s="295" t="s">
        <v>60</v>
      </c>
      <c r="L407" s="297" t="s">
        <v>60</v>
      </c>
      <c r="M407" s="16"/>
      <c r="N407" s="16"/>
      <c r="O407" s="16"/>
    </row>
    <row r="408">
      <c r="A408" s="18"/>
      <c r="B408" s="16"/>
      <c r="C408" s="16"/>
      <c r="D408" s="16"/>
      <c r="E408" s="16"/>
      <c r="F408" s="199"/>
      <c r="G408" s="16"/>
      <c r="H408" s="16"/>
      <c r="I408" s="16"/>
      <c r="J408" s="16"/>
      <c r="K408" s="295" t="s">
        <v>60</v>
      </c>
      <c r="L408" s="297" t="s">
        <v>60</v>
      </c>
      <c r="M408" s="16"/>
      <c r="N408" s="16"/>
      <c r="O408" s="16"/>
    </row>
  </sheetData>
  <mergeCells>
    <mergeCell ref="H2:K2"/>
  </mergeCells>
  <phoneticPr fontId="30" type="noConversion"/>
  <conditionalFormatting sqref="L215:L217 L219:L220">
    <cfRule type="containsText" dxfId="6" priority="217" operator="containsText" text="Block">
      <formula>NOT(ISERROR(SEARCH("Block",L215)))</formula>
    </cfRule>
    <cfRule type="containsText" dxfId="5" priority="218" operator="containsText" text="NA">
      <formula>NOT(ISERROR(SEARCH("NA",L215)))</formula>
    </cfRule>
    <cfRule type="containsText" dxfId="4" priority="219" operator="containsText" text="Fail">
      <formula>NOT(ISERROR(SEARCH("Fail",L215)))</formula>
    </cfRule>
    <cfRule type="containsText" dxfId="3" priority="220" operator="containsText" text="Pass">
      <formula>NOT(ISERROR(SEARCH("Pass",L215)))</formula>
    </cfRule>
  </conditionalFormatting>
  <conditionalFormatting sqref="L212:L213">
    <cfRule type="containsText" dxfId="6" priority="213" operator="containsText" text="Block">
      <formula>NOT(ISERROR(SEARCH("Block",L212)))</formula>
    </cfRule>
    <cfRule type="containsText" dxfId="5" priority="214" operator="containsText" text="NA">
      <formula>NOT(ISERROR(SEARCH("NA",L212)))</formula>
    </cfRule>
    <cfRule type="containsText" dxfId="4" priority="215" operator="containsText" text="Fail">
      <formula>NOT(ISERROR(SEARCH("Fail",L212)))</formula>
    </cfRule>
    <cfRule type="containsText" dxfId="3" priority="216" operator="containsText" text="Pass">
      <formula>NOT(ISERROR(SEARCH("Pass",L212)))</formula>
    </cfRule>
  </conditionalFormatting>
  <conditionalFormatting sqref="L239:L241 L243">
    <cfRule type="containsText" dxfId="6" priority="209" operator="containsText" text="Block">
      <formula>NOT(ISERROR(SEARCH("Block",L239)))</formula>
    </cfRule>
    <cfRule type="containsText" dxfId="5" priority="210" operator="containsText" text="NA">
      <formula>NOT(ISERROR(SEARCH("NA",L239)))</formula>
    </cfRule>
    <cfRule type="containsText" dxfId="4" priority="211" operator="containsText" text="Fail">
      <formula>NOT(ISERROR(SEARCH("Fail",L239)))</formula>
    </cfRule>
    <cfRule type="containsText" dxfId="3" priority="212" operator="containsText" text="Pass">
      <formula>NOT(ISERROR(SEARCH("Pass",L239)))</formula>
    </cfRule>
  </conditionalFormatting>
  <conditionalFormatting sqref="L236:L237">
    <cfRule type="containsText" dxfId="6" priority="205" operator="containsText" text="Block">
      <formula>NOT(ISERROR(SEARCH("Block",L236)))</formula>
    </cfRule>
    <cfRule type="containsText" dxfId="5" priority="206" operator="containsText" text="NA">
      <formula>NOT(ISERROR(SEARCH("NA",L236)))</formula>
    </cfRule>
    <cfRule type="containsText" dxfId="4" priority="207" operator="containsText" text="Fail">
      <formula>NOT(ISERROR(SEARCH("Fail",L236)))</formula>
    </cfRule>
    <cfRule type="containsText" dxfId="3" priority="208" operator="containsText" text="Pass">
      <formula>NOT(ISERROR(SEARCH("Pass",L236)))</formula>
    </cfRule>
  </conditionalFormatting>
  <conditionalFormatting sqref="L218">
    <cfRule type="containsText" dxfId="6" priority="73" operator="containsText" text="Block">
      <formula>NOT(ISERROR(SEARCH("Block",L218)))</formula>
    </cfRule>
    <cfRule type="containsText" dxfId="5" priority="74" operator="containsText" text="NA">
      <formula>NOT(ISERROR(SEARCH("NA",L218)))</formula>
    </cfRule>
    <cfRule type="containsText" dxfId="4" priority="75" operator="containsText" text="Fail">
      <formula>NOT(ISERROR(SEARCH("Fail",L218)))</formula>
    </cfRule>
    <cfRule type="containsText" dxfId="3" priority="76" operator="containsText" text="Pass">
      <formula>NOT(ISERROR(SEARCH("Pass",L218)))</formula>
    </cfRule>
  </conditionalFormatting>
  <conditionalFormatting sqref="L223">
    <cfRule type="containsText" dxfId="6" priority="69" operator="containsText" text="Block">
      <formula>NOT(ISERROR(SEARCH("Block",L223)))</formula>
    </cfRule>
    <cfRule type="containsText" dxfId="5" priority="70" operator="containsText" text="NA">
      <formula>NOT(ISERROR(SEARCH("NA",L223)))</formula>
    </cfRule>
    <cfRule type="containsText" dxfId="4" priority="71" operator="containsText" text="Fail">
      <formula>NOT(ISERROR(SEARCH("Fail",L223)))</formula>
    </cfRule>
    <cfRule type="containsText" dxfId="3" priority="72" operator="containsText" text="Pass">
      <formula>NOT(ISERROR(SEARCH("Pass",L223)))</formula>
    </cfRule>
  </conditionalFormatting>
  <conditionalFormatting sqref="L225">
    <cfRule type="containsText" dxfId="6" priority="65" operator="containsText" text="Block">
      <formula>NOT(ISERROR(SEARCH("Block",L225)))</formula>
    </cfRule>
    <cfRule type="containsText" dxfId="5" priority="66" operator="containsText" text="NA">
      <formula>NOT(ISERROR(SEARCH("NA",L225)))</formula>
    </cfRule>
    <cfRule type="containsText" dxfId="4" priority="67" operator="containsText" text="Fail">
      <formula>NOT(ISERROR(SEARCH("Fail",L225)))</formula>
    </cfRule>
    <cfRule type="containsText" dxfId="3" priority="68" operator="containsText" text="Pass">
      <formula>NOT(ISERROR(SEARCH("Pass",L225)))</formula>
    </cfRule>
  </conditionalFormatting>
  <conditionalFormatting sqref="L230">
    <cfRule type="containsText" dxfId="6" priority="61" operator="containsText" text="Block">
      <formula>NOT(ISERROR(SEARCH("Block",L230)))</formula>
    </cfRule>
    <cfRule type="containsText" dxfId="5" priority="62" operator="containsText" text="NA">
      <formula>NOT(ISERROR(SEARCH("NA",L230)))</formula>
    </cfRule>
    <cfRule type="containsText" dxfId="4" priority="63" operator="containsText" text="Fail">
      <formula>NOT(ISERROR(SEARCH("Fail",L230)))</formula>
    </cfRule>
    <cfRule type="containsText" dxfId="3" priority="64" operator="containsText" text="Pass">
      <formula>NOT(ISERROR(SEARCH("Pass",L230)))</formula>
    </cfRule>
  </conditionalFormatting>
  <conditionalFormatting sqref="L232">
    <cfRule type="containsText" dxfId="6" priority="57" operator="containsText" text="Block">
      <formula>NOT(ISERROR(SEARCH("Block",L232)))</formula>
    </cfRule>
    <cfRule type="containsText" dxfId="5" priority="58" operator="containsText" text="NA">
      <formula>NOT(ISERROR(SEARCH("NA",L232)))</formula>
    </cfRule>
    <cfRule type="containsText" dxfId="4" priority="59" operator="containsText" text="Fail">
      <formula>NOT(ISERROR(SEARCH("Fail",L232)))</formula>
    </cfRule>
    <cfRule type="containsText" dxfId="3" priority="60" operator="containsText" text="Pass">
      <formula>NOT(ISERROR(SEARCH("Pass",L232)))</formula>
    </cfRule>
  </conditionalFormatting>
  <conditionalFormatting sqref="L242">
    <cfRule type="containsText" dxfId="6" priority="53" operator="containsText" text="Block">
      <formula>NOT(ISERROR(SEARCH("Block",L242)))</formula>
    </cfRule>
    <cfRule type="containsText" dxfId="5" priority="54" operator="containsText" text="NA">
      <formula>NOT(ISERROR(SEARCH("NA",L242)))</formula>
    </cfRule>
    <cfRule type="containsText" dxfId="4" priority="55" operator="containsText" text="Fail">
      <formula>NOT(ISERROR(SEARCH("Fail",L242)))</formula>
    </cfRule>
    <cfRule type="containsText" dxfId="3" priority="56" operator="containsText" text="Pass">
      <formula>NOT(ISERROR(SEARCH("Pass",L242)))</formula>
    </cfRule>
  </conditionalFormatting>
  <conditionalFormatting sqref="L246">
    <cfRule type="containsText" dxfId="6" priority="49" operator="containsText" text="Block">
      <formula>NOT(ISERROR(SEARCH("Block",L246)))</formula>
    </cfRule>
    <cfRule type="containsText" dxfId="5" priority="50" operator="containsText" text="NA">
      <formula>NOT(ISERROR(SEARCH("NA",L246)))</formula>
    </cfRule>
    <cfRule type="containsText" dxfId="4" priority="51" operator="containsText" text="Fail">
      <formula>NOT(ISERROR(SEARCH("Fail",L246)))</formula>
    </cfRule>
    <cfRule type="containsText" dxfId="3" priority="52" operator="containsText" text="Pass">
      <formula>NOT(ISERROR(SEARCH("Pass",L246)))</formula>
    </cfRule>
  </conditionalFormatting>
  <conditionalFormatting sqref="L248">
    <cfRule type="containsText" dxfId="6" priority="45" operator="containsText" text="Block">
      <formula>NOT(ISERROR(SEARCH("Block",L248)))</formula>
    </cfRule>
    <cfRule type="containsText" dxfId="5" priority="46" operator="containsText" text="NA">
      <formula>NOT(ISERROR(SEARCH("NA",L248)))</formula>
    </cfRule>
    <cfRule type="containsText" dxfId="4" priority="47" operator="containsText" text="Fail">
      <formula>NOT(ISERROR(SEARCH("Fail",L248)))</formula>
    </cfRule>
    <cfRule type="containsText" dxfId="3" priority="48" operator="containsText" text="Pass">
      <formula>NOT(ISERROR(SEARCH("Pass",L248)))</formula>
    </cfRule>
  </conditionalFormatting>
  <conditionalFormatting sqref="L252">
    <cfRule type="containsText" dxfId="6" priority="41" operator="containsText" text="Block">
      <formula>NOT(ISERROR(SEARCH("Block",L252)))</formula>
    </cfRule>
    <cfRule type="containsText" dxfId="5" priority="42" operator="containsText" text="NA">
      <formula>NOT(ISERROR(SEARCH("NA",L252)))</formula>
    </cfRule>
    <cfRule type="containsText" dxfId="4" priority="43" operator="containsText" text="Fail">
      <formula>NOT(ISERROR(SEARCH("Fail",L252)))</formula>
    </cfRule>
    <cfRule type="containsText" dxfId="3" priority="44" operator="containsText" text="Pass">
      <formula>NOT(ISERROR(SEARCH("Pass",L252)))</formula>
    </cfRule>
  </conditionalFormatting>
  <conditionalFormatting sqref="L254">
    <cfRule type="containsText" dxfId="6" priority="37" operator="containsText" text="Block">
      <formula>NOT(ISERROR(SEARCH("Block",L254)))</formula>
    </cfRule>
    <cfRule type="containsText" dxfId="5" priority="38" operator="containsText" text="NA">
      <formula>NOT(ISERROR(SEARCH("NA",L254)))</formula>
    </cfRule>
    <cfRule type="containsText" dxfId="4" priority="39" operator="containsText" text="Fail">
      <formula>NOT(ISERROR(SEARCH("Fail",L254)))</formula>
    </cfRule>
    <cfRule type="containsText" dxfId="3" priority="40" operator="containsText" text="Pass">
      <formula>NOT(ISERROR(SEARCH("Pass",L254)))</formula>
    </cfRule>
  </conditionalFormatting>
  <conditionalFormatting sqref="L214">
    <cfRule type="containsText" dxfId="6" priority="17" operator="containsText" text="Block">
      <formula>NOT(ISERROR(SEARCH("Block",L214)))</formula>
    </cfRule>
    <cfRule type="containsText" dxfId="5" priority="18" operator="containsText" text="NA">
      <formula>NOT(ISERROR(SEARCH("NA",L214)))</formula>
    </cfRule>
    <cfRule type="containsText" dxfId="4" priority="19" operator="containsText" text="Fail">
      <formula>NOT(ISERROR(SEARCH("Fail",L214)))</formula>
    </cfRule>
    <cfRule type="containsText" dxfId="3" priority="20" operator="containsText" text="Pass">
      <formula>NOT(ISERROR(SEARCH("Pass",L214)))</formula>
    </cfRule>
  </conditionalFormatting>
  <conditionalFormatting sqref="L238">
    <cfRule type="containsText" dxfId="6" priority="13" operator="containsText" text="Block">
      <formula>NOT(ISERROR(SEARCH("Block",L238)))</formula>
    </cfRule>
    <cfRule type="containsText" dxfId="5" priority="14" operator="containsText" text="NA">
      <formula>NOT(ISERROR(SEARCH("NA",L238)))</formula>
    </cfRule>
    <cfRule type="containsText" dxfId="4" priority="15" operator="containsText" text="Fail">
      <formula>NOT(ISERROR(SEARCH("Fail",L238)))</formula>
    </cfRule>
    <cfRule type="containsText" dxfId="3" priority="16" operator="containsText" text="Pass">
      <formula>NOT(ISERROR(SEARCH("Pass",L238)))</formula>
    </cfRule>
  </conditionalFormatting>
  <dataValidations count="1">
    <dataValidation type="list" allowBlank="1" showInputMessage="1" showErrorMessage="1" sqref="L232 L254 L252 L236:L243 L223 L225 L230 L212:L220 L246 L248" xr:uid="{05031761-0A48-43DE-9273-E524D8CA92E4}">
      <formula1>"Pass,Fail,NA,Block"</formula1>
    </dataValidation>
  </dataValidations>
  <pageMargins left="0.7" right="0.7" top="0.75" bottom="0.75" header="0.3" footer="0.3"/>
  <pageSetup paperSize="9" orientation="portrait"/>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K23"/>
  <sheetViews>
    <sheetView zoomScale="115" zoomScaleNormal="115" workbookViewId="0">
      <selection activeCell="K43" sqref="K43"/>
    </sheetView>
  </sheetViews>
  <sheetFormatPr defaultColWidth="9" defaultRowHeight="14.4"/>
  <cols>
    <col min="1" max="1" width="9" customWidth="1" style="14"/>
    <col min="2" max="2" width="67.6640625" customWidth="1" style="14"/>
    <col min="3" max="10" width="9.44140625" customWidth="1" style="14"/>
    <col min="11" max="11" width="33.33203125" customWidth="1" style="14"/>
    <col min="12" max="30" width="9" customWidth="1" style="14"/>
    <col min="31" max="16384" width="9" customWidth="1" style="14"/>
  </cols>
  <sheetData>
    <row r="1" ht="22.8" s="97" customFormat="1">
      <c r="A1" s="375" t="s">
        <v>657</v>
      </c>
      <c r="B1" s="375" t="s">
        <v>658</v>
      </c>
      <c r="C1" s="377" t="s">
        <v>659</v>
      </c>
      <c r="D1" s="378"/>
      <c r="E1" s="378"/>
      <c r="F1" s="379"/>
      <c r="G1" s="377" t="s">
        <v>660</v>
      </c>
      <c r="H1" s="378"/>
      <c r="I1" s="378"/>
      <c r="J1" s="379"/>
      <c r="K1" s="96" t="s">
        <v>522</v>
      </c>
    </row>
    <row r="2" ht="22.8" s="97" customFormat="1">
      <c r="A2" s="376"/>
      <c r="B2" s="376"/>
      <c r="C2" s="98" t="s">
        <v>661</v>
      </c>
      <c r="D2" s="98" t="s">
        <v>662</v>
      </c>
      <c r="E2" s="98" t="s">
        <v>663</v>
      </c>
      <c r="F2" s="98" t="s">
        <v>664</v>
      </c>
      <c r="G2" s="98" t="s">
        <v>661</v>
      </c>
      <c r="H2" s="98" t="s">
        <v>662</v>
      </c>
      <c r="I2" s="98" t="s">
        <v>663</v>
      </c>
      <c r="J2" s="98" t="s">
        <v>664</v>
      </c>
      <c r="K2" s="96"/>
    </row>
    <row r="3">
      <c r="A3" s="18">
        <v>1</v>
      </c>
      <c r="B3" s="89" t="s">
        <v>665</v>
      </c>
      <c r="C3" s="16"/>
      <c r="D3" s="16"/>
      <c r="E3" s="16"/>
      <c r="F3" s="16"/>
      <c r="G3" s="16"/>
      <c r="H3" s="16"/>
      <c r="I3" s="16"/>
      <c r="J3" s="16"/>
      <c r="K3" s="16"/>
    </row>
    <row r="4">
      <c r="A4" s="18">
        <v>2</v>
      </c>
      <c r="B4" s="88" t="s">
        <v>666</v>
      </c>
      <c r="C4" s="16"/>
      <c r="D4" s="16"/>
      <c r="E4" s="16"/>
      <c r="F4" s="16"/>
      <c r="G4" s="16"/>
      <c r="H4" s="16"/>
      <c r="I4" s="16"/>
      <c r="J4" s="16"/>
      <c r="K4" s="16"/>
    </row>
    <row r="5" ht="28.8">
      <c r="A5" s="18">
        <v>3</v>
      </c>
      <c r="B5" s="88" t="s">
        <v>667</v>
      </c>
      <c r="C5" s="16"/>
      <c r="D5" s="16"/>
      <c r="E5" s="16"/>
      <c r="F5" s="16"/>
      <c r="G5" s="16"/>
      <c r="H5" s="16"/>
      <c r="I5" s="16"/>
      <c r="J5" s="16"/>
      <c r="K5" s="16"/>
    </row>
    <row r="6">
      <c r="A6" s="18">
        <v>4</v>
      </c>
      <c r="B6" s="88" t="s">
        <v>668</v>
      </c>
      <c r="C6" s="16"/>
      <c r="D6" s="16"/>
      <c r="E6" s="16"/>
      <c r="F6" s="16"/>
      <c r="G6" s="16"/>
      <c r="H6" s="16"/>
      <c r="I6" s="16"/>
      <c r="J6" s="16"/>
      <c r="K6" s="16"/>
    </row>
    <row r="7" ht="28.8">
      <c r="A7" s="18">
        <v>5</v>
      </c>
      <c r="B7" s="88" t="s">
        <v>669</v>
      </c>
      <c r="C7" s="16"/>
      <c r="D7" s="16"/>
      <c r="E7" s="16"/>
      <c r="F7" s="16"/>
      <c r="G7" s="16"/>
      <c r="H7" s="16"/>
      <c r="I7" s="16"/>
      <c r="J7" s="16"/>
      <c r="K7" s="16"/>
    </row>
    <row r="8" ht="28.8">
      <c r="A8" s="18">
        <v>6</v>
      </c>
      <c r="B8" s="88" t="s">
        <v>670</v>
      </c>
      <c r="C8" s="16"/>
      <c r="D8" s="16"/>
      <c r="E8" s="16"/>
      <c r="F8" s="16"/>
      <c r="G8" s="16"/>
      <c r="H8" s="16"/>
      <c r="I8" s="16"/>
      <c r="J8" s="16"/>
      <c r="K8" s="16"/>
    </row>
    <row r="9">
      <c r="A9" s="18">
        <v>7</v>
      </c>
      <c r="B9" s="88" t="s">
        <v>671</v>
      </c>
      <c r="C9" s="16"/>
      <c r="D9" s="16"/>
      <c r="E9" s="16"/>
      <c r="F9" s="16"/>
      <c r="G9" s="16"/>
      <c r="H9" s="16"/>
      <c r="I9" s="16"/>
      <c r="J9" s="16"/>
      <c r="K9" s="16"/>
    </row>
    <row r="10" ht="28.8">
      <c r="A10" s="18">
        <v>8</v>
      </c>
      <c r="B10" s="88" t="s">
        <v>672</v>
      </c>
      <c r="C10" s="16"/>
      <c r="D10" s="16"/>
      <c r="E10" s="16"/>
      <c r="F10" s="16"/>
      <c r="G10" s="16"/>
      <c r="H10" s="16"/>
      <c r="I10" s="16"/>
      <c r="J10" s="16"/>
      <c r="K10" s="16"/>
    </row>
    <row r="11" ht="28.8">
      <c r="A11" s="18">
        <v>9</v>
      </c>
      <c r="B11" s="88" t="s">
        <v>673</v>
      </c>
      <c r="C11" s="99"/>
      <c r="D11" s="99"/>
      <c r="E11" s="99"/>
      <c r="F11" s="99"/>
      <c r="G11" s="99"/>
      <c r="H11" s="99"/>
      <c r="I11" s="99"/>
      <c r="J11" s="99"/>
      <c r="K11" s="99"/>
    </row>
    <row r="12">
      <c r="A12" s="16"/>
      <c r="B12" s="88" t="s">
        <v>674</v>
      </c>
      <c r="C12" s="16"/>
      <c r="D12" s="16"/>
      <c r="E12" s="16"/>
      <c r="F12" s="16"/>
      <c r="G12" s="16"/>
      <c r="H12" s="16"/>
      <c r="I12" s="16"/>
      <c r="J12" s="16"/>
      <c r="K12" s="16"/>
    </row>
    <row r="13">
      <c r="A13" s="16"/>
      <c r="B13" s="88" t="s">
        <v>675</v>
      </c>
      <c r="C13" s="16"/>
      <c r="D13" s="16"/>
      <c r="E13" s="16"/>
      <c r="F13" s="16"/>
      <c r="G13" s="16"/>
      <c r="H13" s="16"/>
      <c r="I13" s="16"/>
      <c r="J13" s="16"/>
      <c r="K13" s="16"/>
    </row>
    <row r="14">
      <c r="A14" s="16"/>
      <c r="B14" s="88" t="s">
        <v>676</v>
      </c>
      <c r="C14" s="16"/>
      <c r="D14" s="16"/>
      <c r="E14" s="16"/>
      <c r="F14" s="16"/>
      <c r="G14" s="16"/>
      <c r="H14" s="16"/>
      <c r="I14" s="16"/>
      <c r="J14" s="16"/>
      <c r="K14" s="16"/>
    </row>
    <row r="15">
      <c r="A15" s="16"/>
      <c r="B15" s="88" t="s">
        <v>677</v>
      </c>
      <c r="C15" s="16"/>
      <c r="D15" s="16"/>
      <c r="E15" s="16"/>
      <c r="F15" s="16"/>
      <c r="G15" s="16"/>
      <c r="H15" s="16"/>
      <c r="I15" s="16"/>
      <c r="J15" s="16"/>
      <c r="K15" s="16"/>
    </row>
    <row r="16">
      <c r="A16" s="16"/>
      <c r="B16" s="88" t="s">
        <v>678</v>
      </c>
      <c r="C16" s="16"/>
      <c r="D16" s="16"/>
      <c r="E16" s="16"/>
      <c r="F16" s="16"/>
      <c r="G16" s="16"/>
      <c r="H16" s="16"/>
      <c r="I16" s="16"/>
      <c r="J16" s="16"/>
      <c r="K16" s="16"/>
    </row>
    <row r="17">
      <c r="A17" s="16"/>
      <c r="B17" s="88" t="s">
        <v>679</v>
      </c>
      <c r="C17" s="16"/>
      <c r="D17" s="16"/>
      <c r="E17" s="16"/>
      <c r="F17" s="16"/>
      <c r="G17" s="16"/>
      <c r="H17" s="16"/>
      <c r="I17" s="16"/>
      <c r="J17" s="16"/>
      <c r="K17" s="16"/>
    </row>
    <row r="18">
      <c r="A18" s="16"/>
      <c r="B18" s="88" t="s">
        <v>680</v>
      </c>
      <c r="C18" s="16"/>
      <c r="D18" s="16"/>
      <c r="E18" s="16"/>
      <c r="F18" s="16"/>
      <c r="G18" s="16"/>
      <c r="H18" s="16"/>
      <c r="I18" s="16"/>
      <c r="J18" s="16"/>
      <c r="K18" s="16"/>
    </row>
    <row r="19">
      <c r="A19" s="16"/>
      <c r="B19" s="88" t="s">
        <v>681</v>
      </c>
      <c r="C19" s="16"/>
      <c r="D19" s="16"/>
      <c r="E19" s="16"/>
      <c r="F19" s="16"/>
      <c r="G19" s="16"/>
      <c r="H19" s="16"/>
      <c r="I19" s="16"/>
      <c r="J19" s="16"/>
      <c r="K19" s="16"/>
    </row>
    <row r="20">
      <c r="A20" s="16"/>
      <c r="B20" s="88" t="s">
        <v>682</v>
      </c>
      <c r="C20" s="16"/>
      <c r="D20" s="16"/>
      <c r="E20" s="16"/>
      <c r="F20" s="16"/>
      <c r="G20" s="16"/>
      <c r="H20" s="16"/>
      <c r="I20" s="16"/>
      <c r="J20" s="16"/>
      <c r="K20" s="16"/>
    </row>
    <row r="21">
      <c r="A21" s="16"/>
      <c r="B21" s="88" t="s">
        <v>683</v>
      </c>
      <c r="C21" s="16"/>
      <c r="D21" s="16"/>
      <c r="E21" s="16"/>
      <c r="F21" s="16"/>
      <c r="G21" s="16"/>
      <c r="H21" s="16"/>
      <c r="I21" s="16"/>
      <c r="J21" s="16"/>
      <c r="K21" s="16"/>
    </row>
    <row r="22">
      <c r="A22" s="16"/>
      <c r="B22" s="88" t="s">
        <v>684</v>
      </c>
      <c r="C22" s="16"/>
      <c r="D22" s="16"/>
      <c r="E22" s="16"/>
      <c r="F22" s="16"/>
      <c r="G22" s="16"/>
      <c r="H22" s="16"/>
      <c r="I22" s="16"/>
      <c r="J22" s="16"/>
      <c r="K22" s="16"/>
    </row>
    <row r="23">
      <c r="A23" s="16"/>
      <c r="B23" s="88" t="s">
        <v>685</v>
      </c>
      <c r="C23" s="16"/>
      <c r="D23" s="16"/>
      <c r="E23" s="16"/>
      <c r="F23" s="16"/>
      <c r="G23" s="16"/>
      <c r="H23" s="16"/>
      <c r="I23" s="16"/>
      <c r="J23" s="16"/>
      <c r="K23" s="16"/>
    </row>
  </sheetData>
  <mergeCells>
    <mergeCell ref="A1:A2"/>
    <mergeCell ref="B1:B2"/>
    <mergeCell ref="C1:F1"/>
    <mergeCell ref="G1:J1"/>
  </mergeCells>
  <phoneticPr fontId="6" type="noConversion"/>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D41"/>
  <sheetViews>
    <sheetView zoomScale="55" zoomScaleNormal="55" workbookViewId="0">
      <selection activeCell="A28" sqref="A28"/>
    </sheetView>
  </sheetViews>
  <sheetFormatPr defaultColWidth="9" defaultRowHeight="14.4"/>
  <cols>
    <col min="1" max="1" width="47.33203125" customWidth="1" style="14"/>
    <col min="2" max="2" width="98.33203125" customWidth="1" style="14"/>
    <col min="3" max="21" width="9" customWidth="1" style="14"/>
    <col min="22" max="16384" width="9" customWidth="1" style="14"/>
  </cols>
  <sheetData>
    <row r="1">
      <c r="A1" s="20" t="s">
        <v>1139</v>
      </c>
      <c r="B1" s="21" t="s">
        <v>1140</v>
      </c>
    </row>
    <row r="3" ht="15.6">
      <c r="A3" s="22" t="s">
        <v>1141</v>
      </c>
    </row>
    <row r="4" ht="17.4">
      <c r="A4" s="24" t="s">
        <v>1142</v>
      </c>
      <c r="B4" s="23" t="s">
        <v>1143</v>
      </c>
    </row>
    <row r="7">
      <c r="A7" s="25" t="s">
        <v>1144</v>
      </c>
    </row>
    <row r="11">
      <c r="A11" s="26" t="s">
        <v>1145</v>
      </c>
      <c r="B11" s="14" t="s">
        <v>1146</v>
      </c>
    </row>
    <row r="12">
      <c r="A12" s="26"/>
    </row>
    <row r="13">
      <c r="A13" s="26" t="s">
        <v>1147</v>
      </c>
      <c r="B13" s="14" t="s">
        <v>1148</v>
      </c>
    </row>
    <row r="15">
      <c r="A15" s="27" t="s">
        <v>1149</v>
      </c>
      <c r="B15" s="29" t="s">
        <v>1150</v>
      </c>
    </row>
    <row r="16" ht="26.4">
      <c r="B16" s="30" t="s">
        <v>1151</v>
      </c>
    </row>
    <row r="17" ht="26.4">
      <c r="B17" s="31" t="s">
        <v>1152</v>
      </c>
    </row>
    <row r="18">
      <c r="B18" s="30" t="s">
        <v>1153</v>
      </c>
    </row>
    <row r="19" ht="26.4">
      <c r="B19" s="30" t="s">
        <v>1154</v>
      </c>
    </row>
    <row r="20" ht="26.4">
      <c r="B20" s="30" t="s">
        <v>1155</v>
      </c>
    </row>
    <row r="21">
      <c r="B21" s="31" t="s">
        <v>1156</v>
      </c>
    </row>
    <row r="22">
      <c r="B22" s="30" t="s">
        <v>1157</v>
      </c>
    </row>
    <row r="23" ht="26.4">
      <c r="B23" s="30" t="s">
        <v>1158</v>
      </c>
    </row>
    <row r="24" ht="26.4">
      <c r="B24" s="30" t="s">
        <v>1159</v>
      </c>
    </row>
    <row r="25">
      <c r="B25" s="30"/>
    </row>
    <row r="26">
      <c r="B26" s="30"/>
    </row>
    <row r="27">
      <c r="B27" s="30"/>
    </row>
    <row r="28">
      <c r="A28" s="28" t="s">
        <v>1160</v>
      </c>
    </row>
    <row r="29">
      <c r="A29" s="150" t="s">
        <v>1161</v>
      </c>
      <c r="B29" s="151" t="s">
        <v>1162</v>
      </c>
      <c r="C29" s="151" t="s">
        <v>1163</v>
      </c>
      <c r="D29" s="151" t="s">
        <v>1164</v>
      </c>
    </row>
    <row r="30">
      <c r="A30" s="152">
        <v>42923</v>
      </c>
      <c r="B30" s="153" t="s">
        <v>1165</v>
      </c>
      <c r="C30" s="156">
        <v>0.1</v>
      </c>
      <c r="D30" s="157" t="s">
        <v>1166</v>
      </c>
    </row>
    <row r="31">
      <c r="A31" s="158">
        <v>42974</v>
      </c>
      <c r="B31" s="158" t="s">
        <v>1162</v>
      </c>
      <c r="C31" s="159">
        <v>1</v>
      </c>
      <c r="D31" s="160" t="s">
        <v>1167</v>
      </c>
    </row>
    <row r="32">
      <c r="A32" s="158">
        <v>42983</v>
      </c>
      <c r="B32" s="158" t="s">
        <v>1168</v>
      </c>
      <c r="C32" s="161">
        <v>1.1</v>
      </c>
      <c r="D32" s="160" t="s">
        <v>1166</v>
      </c>
    </row>
    <row r="33">
      <c r="A33" s="158">
        <v>43053</v>
      </c>
      <c r="B33" s="158" t="s">
        <v>1169</v>
      </c>
      <c r="C33" s="161">
        <v>1.4</v>
      </c>
      <c r="D33" s="160" t="s">
        <v>1166</v>
      </c>
    </row>
    <row r="34">
      <c r="A34" s="158">
        <v>43066</v>
      </c>
      <c r="B34" s="158" t="s">
        <v>1170</v>
      </c>
      <c r="C34" s="161">
        <v>1.5</v>
      </c>
      <c r="D34" s="160" t="s">
        <v>1166</v>
      </c>
    </row>
    <row r="35" ht="26.4">
      <c r="A35" s="158">
        <v>43090</v>
      </c>
      <c r="B35" s="158" t="s">
        <v>1171</v>
      </c>
      <c r="C35" s="161">
        <v>1.6</v>
      </c>
      <c r="D35" s="160" t="s">
        <v>1166</v>
      </c>
    </row>
    <row r="36" ht="26.4">
      <c r="A36" s="158">
        <v>43171</v>
      </c>
      <c r="B36" s="158" t="s">
        <v>1172</v>
      </c>
      <c r="C36" s="162">
        <v>1.7</v>
      </c>
      <c r="D36" s="160" t="s">
        <v>1166</v>
      </c>
    </row>
    <row r="37">
      <c r="A37" s="158">
        <v>43256</v>
      </c>
      <c r="B37" s="158" t="s">
        <v>1173</v>
      </c>
      <c r="C37" s="161">
        <v>1.8</v>
      </c>
      <c r="D37" s="160" t="s">
        <v>1166</v>
      </c>
    </row>
    <row r="38" ht="52.8">
      <c r="A38" s="158">
        <v>43287</v>
      </c>
      <c r="B38" s="158" t="s">
        <v>1174</v>
      </c>
      <c r="C38" s="161">
        <v>1.9</v>
      </c>
      <c r="D38" s="160" t="s">
        <v>1166</v>
      </c>
    </row>
    <row r="39">
      <c r="A39" s="152">
        <v>43334</v>
      </c>
      <c r="B39" s="152" t="s">
        <v>1175</v>
      </c>
      <c r="C39" s="159">
        <v>2</v>
      </c>
      <c r="D39" s="160" t="s">
        <v>1167</v>
      </c>
    </row>
    <row r="40">
      <c r="A40" s="152">
        <v>43819</v>
      </c>
      <c r="B40" s="152" t="s">
        <v>1176</v>
      </c>
      <c r="C40" s="159">
        <v>3</v>
      </c>
      <c r="D40" s="160" t="s">
        <v>1167</v>
      </c>
    </row>
    <row r="41">
      <c r="A41" s="152"/>
      <c r="B41" s="152"/>
      <c r="C41" s="154"/>
      <c r="D41" s="155"/>
    </row>
  </sheetData>
  <phoneticPr fontId="6" type="noConversion"/>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127"/>
  <sheetViews>
    <sheetView topLeftCell="A34" workbookViewId="0">
      <selection activeCell="F31" sqref="F31"/>
    </sheetView>
  </sheetViews>
  <sheetFormatPr defaultRowHeight="14.4"/>
  <cols>
    <col min="1" max="1" width="38.5546875" customWidth="1" style="13"/>
    <col min="2" max="2" width="86.6640625" customWidth="1" style="13"/>
  </cols>
  <sheetData>
    <row r="1" ht="17.4">
      <c r="A1" s="32" t="s">
        <v>686</v>
      </c>
    </row>
    <row r="7">
      <c r="A7" s="58" t="s">
        <v>687</v>
      </c>
      <c r="B7" s="59" t="s">
        <v>688</v>
      </c>
    </row>
    <row r="9">
      <c r="A9" s="58" t="s">
        <v>689</v>
      </c>
      <c r="B9" s="59" t="s">
        <v>690</v>
      </c>
    </row>
    <row r="10" ht="27">
      <c r="B10" s="60" t="s">
        <v>691</v>
      </c>
    </row>
    <row r="12">
      <c r="A12" s="61" t="s">
        <v>692</v>
      </c>
      <c r="B12" s="73" t="s">
        <v>693</v>
      </c>
    </row>
    <row r="13">
      <c r="A13" s="61"/>
      <c r="B13" s="73" t="s">
        <v>694</v>
      </c>
    </row>
    <row r="14">
      <c r="A14" s="61"/>
      <c r="B14" s="65"/>
    </row>
    <row r="15" ht="39.6">
      <c r="A15" s="61" t="s">
        <v>695</v>
      </c>
      <c r="B15" s="63" t="s">
        <v>696</v>
      </c>
    </row>
    <row r="16" ht="39.6">
      <c r="B16" s="76" t="s">
        <v>697</v>
      </c>
    </row>
    <row r="17">
      <c r="B17" s="59" t="s">
        <v>698</v>
      </c>
    </row>
    <row r="18" ht="26.4" s="14" customFormat="1">
      <c r="B18" s="67" t="s">
        <v>699</v>
      </c>
    </row>
    <row r="20">
      <c r="A20" s="66" t="s">
        <v>700</v>
      </c>
      <c r="B20" s="67" t="s">
        <v>701</v>
      </c>
    </row>
    <row r="21" s="14" customFormat="1">
      <c r="A21" s="66"/>
      <c r="B21" s="67" t="s">
        <v>702</v>
      </c>
    </row>
    <row r="22" ht="26.4" s="14" customFormat="1">
      <c r="A22" s="66"/>
      <c r="B22" s="63" t="s">
        <v>703</v>
      </c>
    </row>
    <row r="23">
      <c r="B23" s="63" t="s">
        <v>704</v>
      </c>
    </row>
    <row r="24" s="14" customFormat="1">
      <c r="B24" s="63" t="s">
        <v>705</v>
      </c>
    </row>
    <row r="25" s="14" customFormat="1">
      <c r="B25" s="63" t="s">
        <v>706</v>
      </c>
    </row>
    <row r="26" s="14" customFormat="1">
      <c r="B26" s="80" t="s">
        <v>707</v>
      </c>
    </row>
    <row r="27" s="14" customFormat="1">
      <c r="B27" s="81" t="s">
        <v>708</v>
      </c>
    </row>
    <row r="28" s="14" customFormat="1">
      <c r="B28" s="80" t="s">
        <v>709</v>
      </c>
    </row>
    <row r="29" s="14" customFormat="1">
      <c r="B29" s="63"/>
    </row>
    <row r="30" s="14" customFormat="1">
      <c r="B30" s="63" t="s">
        <v>710</v>
      </c>
    </row>
    <row r="31" ht="26.4" s="14" customFormat="1">
      <c r="B31" s="63" t="s">
        <v>711</v>
      </c>
    </row>
    <row r="32" ht="26.4">
      <c r="B32" s="63" t="s">
        <v>712</v>
      </c>
    </row>
    <row r="33" s="14" customFormat="1">
      <c r="B33" s="63" t="s">
        <v>713</v>
      </c>
    </row>
    <row r="34" ht="27.75" customHeight="1">
      <c r="B34" s="63" t="s">
        <v>714</v>
      </c>
    </row>
    <row r="35" ht="26.4">
      <c r="B35" s="63" t="s">
        <v>715</v>
      </c>
    </row>
    <row r="37">
      <c r="A37" s="67"/>
      <c r="B37" s="63"/>
    </row>
    <row r="38">
      <c r="A38" s="58"/>
      <c r="B38" s="66"/>
    </row>
    <row r="39">
      <c r="A39" s="58"/>
      <c r="B39" s="60"/>
    </row>
    <row r="40">
      <c r="A40" s="58"/>
      <c r="B40" s="60"/>
    </row>
    <row r="41">
      <c r="A41" s="58"/>
      <c r="B41" s="60"/>
    </row>
    <row r="42">
      <c r="A42" s="58"/>
      <c r="B42" s="60"/>
    </row>
    <row r="43">
      <c r="A43" s="58"/>
      <c r="B43" s="60"/>
    </row>
    <row r="44">
      <c r="A44" s="58"/>
      <c r="B44" s="60"/>
    </row>
    <row r="45">
      <c r="A45" s="58"/>
      <c r="B45" s="66"/>
    </row>
    <row r="46">
      <c r="A46" s="58"/>
      <c r="B46" s="60"/>
    </row>
    <row r="48">
      <c r="A48" s="67"/>
      <c r="B48" s="63"/>
    </row>
    <row r="49">
      <c r="A49" s="59"/>
      <c r="B49" s="66"/>
    </row>
    <row r="51">
      <c r="A51" s="61"/>
      <c r="B51" s="62"/>
    </row>
    <row r="52">
      <c r="B52" s="62"/>
    </row>
    <row r="53">
      <c r="B53" s="68"/>
    </row>
    <row r="54">
      <c r="B54" s="62"/>
    </row>
    <row r="55">
      <c r="B55" s="62"/>
    </row>
    <row r="56">
      <c r="A56" s="61"/>
      <c r="B56" s="64"/>
    </row>
    <row r="57">
      <c r="B57" s="64"/>
    </row>
    <row r="58">
      <c r="B58" s="68"/>
    </row>
    <row r="59">
      <c r="B59" s="68"/>
    </row>
    <row r="60">
      <c r="A60" s="61"/>
      <c r="B60" s="64"/>
    </row>
    <row r="61">
      <c r="B61" s="68"/>
    </row>
    <row r="62">
      <c r="B62" s="68"/>
    </row>
    <row r="63">
      <c r="B63" s="68"/>
    </row>
    <row r="64">
      <c r="B64" s="68"/>
    </row>
    <row r="65">
      <c r="B65" s="64"/>
    </row>
    <row r="66">
      <c r="A66" s="61"/>
      <c r="B66" s="69"/>
    </row>
    <row r="67">
      <c r="B67" s="70"/>
    </row>
    <row r="68">
      <c r="B68" s="70"/>
    </row>
    <row r="69">
      <c r="B69" s="70"/>
    </row>
    <row r="71">
      <c r="A71" s="61"/>
      <c r="B71" s="69"/>
    </row>
    <row r="72">
      <c r="B72" s="70"/>
    </row>
    <row r="73">
      <c r="B73" s="69"/>
    </row>
    <row r="74">
      <c r="B74" s="69"/>
    </row>
    <row r="76">
      <c r="A76" s="61"/>
      <c r="B76" s="69"/>
    </row>
    <row r="77">
      <c r="B77" s="71"/>
    </row>
    <row r="78">
      <c r="B78" s="69"/>
    </row>
    <row r="79">
      <c r="B79" s="69"/>
    </row>
    <row r="81">
      <c r="A81" s="61"/>
      <c r="B81" s="69"/>
    </row>
    <row r="82">
      <c r="B82" s="69"/>
    </row>
    <row r="83">
      <c r="B83" s="69"/>
    </row>
    <row r="84">
      <c r="B84" s="72"/>
    </row>
    <row r="85">
      <c r="B85" s="70"/>
    </row>
    <row r="86">
      <c r="B86" s="70"/>
    </row>
    <row r="88">
      <c r="A88" s="61"/>
      <c r="B88" s="64"/>
    </row>
    <row r="89">
      <c r="B89" s="68"/>
    </row>
    <row r="90">
      <c r="B90" s="72"/>
    </row>
    <row r="91">
      <c r="B91" s="64"/>
    </row>
    <row r="92">
      <c r="B92" s="68"/>
    </row>
    <row r="94">
      <c r="A94" s="61"/>
      <c r="B94" s="69"/>
    </row>
    <row r="95">
      <c r="B95" s="70"/>
    </row>
    <row r="96">
      <c r="B96" s="69"/>
    </row>
    <row r="97">
      <c r="B97" s="64"/>
    </row>
    <row r="98">
      <c r="A98" s="61"/>
      <c r="B98" s="69"/>
    </row>
    <row r="99">
      <c r="B99" s="69"/>
    </row>
    <row r="100">
      <c r="B100" s="72"/>
    </row>
    <row r="102">
      <c r="A102" s="61"/>
      <c r="B102" s="69"/>
    </row>
    <row r="103">
      <c r="B103" s="69"/>
    </row>
    <row r="104">
      <c r="B104" s="72"/>
    </row>
    <row r="105">
      <c r="B105" s="69"/>
    </row>
    <row r="106">
      <c r="B106" s="64"/>
    </row>
    <row r="107">
      <c r="A107" s="61"/>
      <c r="B107" s="69"/>
    </row>
    <row r="108">
      <c r="B108" s="69"/>
    </row>
    <row r="109">
      <c r="B109" s="72"/>
    </row>
    <row r="110">
      <c r="B110" s="64"/>
    </row>
    <row r="111">
      <c r="B111" s="64"/>
    </row>
    <row r="112">
      <c r="A112" s="61"/>
      <c r="B112" s="69"/>
    </row>
    <row r="113">
      <c r="B113" s="69"/>
    </row>
    <row r="114">
      <c r="B114" s="72"/>
    </row>
    <row r="115">
      <c r="B115" s="64"/>
    </row>
    <row r="116">
      <c r="B116" s="64"/>
    </row>
    <row r="117">
      <c r="A117" s="61"/>
      <c r="B117" s="69"/>
    </row>
    <row r="118">
      <c r="B118" s="64"/>
    </row>
    <row r="119">
      <c r="B119" s="64"/>
    </row>
    <row r="120">
      <c r="B120" s="64"/>
    </row>
    <row r="121">
      <c r="A121" s="61"/>
      <c r="B121" s="64"/>
    </row>
    <row r="122">
      <c r="B122" s="64"/>
    </row>
    <row r="123">
      <c r="B123" s="68"/>
    </row>
    <row r="124">
      <c r="B124" s="65"/>
    </row>
    <row r="125">
      <c r="B125" s="64"/>
    </row>
    <row r="126">
      <c r="A126" s="61"/>
      <c r="B126" s="64"/>
    </row>
    <row r="127">
      <c r="B127" s="70"/>
    </row>
  </sheetData>
  <phoneticPr fontId="6" type="noConversion"/>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1"/>
  <sheetViews>
    <sheetView workbookViewId="0">
      <selection activeCell="D30" sqref="D30:D31"/>
    </sheetView>
  </sheetViews>
  <sheetFormatPr defaultRowHeight="14.4"/>
  <cols>
    <col min="1" max="1" width="53.6640625" customWidth="1" style="13"/>
    <col min="2" max="2" width="42.6640625" customWidth="1" style="13"/>
    <col min="3" max="3" width="40.33203125" customWidth="1" style="13"/>
  </cols>
  <sheetData>
    <row r="1">
      <c r="A1" s="74" t="s">
        <v>716</v>
      </c>
      <c r="B1" s="74" t="s">
        <v>717</v>
      </c>
      <c r="C1" s="75" t="s">
        <v>718</v>
      </c>
    </row>
  </sheetData>
  <phoneticPr fontId="6" type="noConversion"/>
  <conditionalFormatting sqref="C1">
    <cfRule type="cellIs" dxfId="2" priority="1" operator="equal">
      <formula>"CLARIFY"</formula>
    </cfRule>
    <cfRule type="cellIs" dxfId="1" priority="2" operator="equal">
      <formula>"NONE"</formula>
    </cfRule>
    <cfRule type="cellIs" dxfId="0" priority="3" operator="equal">
      <formula>"FULL"</formula>
    </cfRule>
  </conditionalFormatting>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58"/>
  <sheetViews>
    <sheetView topLeftCell="A31" workbookViewId="0">
      <selection activeCell="B47" sqref="B47"/>
    </sheetView>
  </sheetViews>
  <sheetFormatPr defaultRowHeight="14.4"/>
  <cols>
    <col min="2" max="2" width="83.33203125" customWidth="1" style="13"/>
    <col min="3" max="3" width="16.33203125" customWidth="1" style="13"/>
    <col min="4" max="4" width="15" customWidth="1" style="13"/>
  </cols>
  <sheetData>
    <row r="1" ht="21">
      <c r="A1" s="33" t="s">
        <v>719</v>
      </c>
      <c r="B1" s="34" t="s">
        <v>720</v>
      </c>
      <c r="C1" s="8"/>
      <c r="D1" s="8"/>
    </row>
    <row r="2" ht="15.6">
      <c r="A2" s="35"/>
      <c r="B2" s="36"/>
      <c r="C2" s="8"/>
      <c r="D2" s="8"/>
    </row>
    <row r="3" ht="15.6">
      <c r="A3" s="37" t="s">
        <v>721</v>
      </c>
      <c r="B3" s="38" t="s">
        <v>722</v>
      </c>
      <c r="C3" s="8"/>
      <c r="D3" s="8"/>
    </row>
    <row r="4" ht="34.5" customHeight="1">
      <c r="A4" s="35"/>
      <c r="B4" s="383" t="s">
        <v>723</v>
      </c>
      <c r="C4" s="383"/>
      <c r="D4" s="383"/>
    </row>
    <row r="5" ht="78" customHeight="1">
      <c r="A5" s="35"/>
      <c r="B5" s="380"/>
      <c r="C5" s="381"/>
      <c r="D5" s="382"/>
    </row>
    <row r="6" ht="15.6">
      <c r="A6" s="35"/>
      <c r="B6" s="36"/>
      <c r="C6" s="8"/>
      <c r="D6" s="8"/>
    </row>
    <row r="7" ht="15.6">
      <c r="A7" s="37" t="s">
        <v>724</v>
      </c>
      <c r="B7" s="38" t="s">
        <v>725</v>
      </c>
      <c r="C7" s="8"/>
      <c r="D7" s="8"/>
    </row>
    <row r="8" ht="15.6">
      <c r="A8" s="35"/>
      <c r="B8" s="384" t="s">
        <v>726</v>
      </c>
      <c r="C8" s="384"/>
      <c r="D8" s="384"/>
    </row>
    <row r="9" ht="15.6">
      <c r="A9" s="35"/>
      <c r="B9" s="384" t="s">
        <v>727</v>
      </c>
      <c r="C9" s="384"/>
      <c r="D9" s="384"/>
    </row>
    <row r="10" ht="15.6">
      <c r="A10" s="35"/>
      <c r="B10" s="384"/>
      <c r="C10" s="384"/>
      <c r="D10" s="384"/>
    </row>
    <row r="11" ht="53.25" customHeight="1">
      <c r="A11" s="35"/>
      <c r="B11" s="380"/>
      <c r="C11" s="381"/>
      <c r="D11" s="382"/>
    </row>
    <row r="12" ht="15.6">
      <c r="A12" s="35"/>
      <c r="B12" s="39"/>
      <c r="C12" s="39"/>
      <c r="D12" s="39"/>
    </row>
    <row r="13" ht="15.6">
      <c r="A13" s="37" t="s">
        <v>728</v>
      </c>
      <c r="B13" s="40" t="s">
        <v>729</v>
      </c>
      <c r="C13" s="41" t="s">
        <v>730</v>
      </c>
      <c r="D13" s="41" t="s">
        <v>731</v>
      </c>
    </row>
    <row r="14" ht="15.6">
      <c r="A14" s="35"/>
      <c r="B14" s="42" t="s">
        <v>732</v>
      </c>
      <c r="C14" s="43"/>
      <c r="D14" s="43"/>
    </row>
    <row r="15" ht="15.6">
      <c r="A15" s="35"/>
      <c r="B15" s="44"/>
      <c r="C15" s="45"/>
      <c r="D15" s="46"/>
    </row>
    <row r="16" ht="15.6">
      <c r="A16" s="35"/>
      <c r="B16" s="47"/>
      <c r="C16" s="48"/>
      <c r="D16" s="49"/>
    </row>
    <row r="17" ht="15.6">
      <c r="A17" s="35"/>
      <c r="B17" s="50"/>
      <c r="C17" s="51"/>
      <c r="D17" s="52"/>
    </row>
    <row r="18" ht="15.6">
      <c r="A18" s="35"/>
      <c r="B18" s="36"/>
      <c r="C18" s="8"/>
      <c r="D18" s="8"/>
    </row>
    <row r="19" ht="15.6">
      <c r="A19" s="37" t="s">
        <v>733</v>
      </c>
      <c r="B19" s="40" t="s">
        <v>734</v>
      </c>
      <c r="C19" s="8"/>
      <c r="D19" s="8"/>
    </row>
    <row r="20" ht="15.6">
      <c r="A20" s="35"/>
      <c r="B20" s="53" t="s">
        <v>735</v>
      </c>
      <c r="C20" s="43"/>
      <c r="D20" s="43"/>
    </row>
    <row r="21" ht="15.6">
      <c r="A21" s="35"/>
      <c r="B21" s="385" t="s">
        <v>736</v>
      </c>
      <c r="C21" s="386"/>
      <c r="D21" s="387"/>
    </row>
    <row r="22" ht="15.6">
      <c r="A22" s="35"/>
      <c r="B22" s="388"/>
      <c r="C22" s="389"/>
      <c r="D22" s="390"/>
    </row>
    <row r="23" ht="15.6">
      <c r="A23" s="35"/>
      <c r="B23" s="391"/>
      <c r="C23" s="392"/>
      <c r="D23" s="393"/>
    </row>
    <row r="24" ht="15.6">
      <c r="A24" s="35"/>
      <c r="B24" s="36"/>
      <c r="C24" s="8"/>
      <c r="D24" s="8"/>
    </row>
    <row r="25" ht="21">
      <c r="A25" s="33" t="s">
        <v>737</v>
      </c>
      <c r="B25" s="34" t="s">
        <v>738</v>
      </c>
      <c r="C25" s="8"/>
      <c r="D25" s="8"/>
    </row>
    <row r="26" ht="15.6">
      <c r="A26" s="35"/>
      <c r="B26" s="394" t="s">
        <v>739</v>
      </c>
      <c r="C26" s="394"/>
      <c r="D26" s="394"/>
    </row>
    <row r="27" ht="15.6">
      <c r="A27" s="35"/>
      <c r="B27" s="395"/>
      <c r="C27" s="395"/>
      <c r="D27" s="395"/>
    </row>
    <row r="28" ht="15.6">
      <c r="A28" s="37" t="s">
        <v>740</v>
      </c>
      <c r="B28" s="38" t="s">
        <v>741</v>
      </c>
      <c r="C28" s="8"/>
      <c r="D28" s="8"/>
    </row>
    <row r="29" ht="15.6">
      <c r="A29" s="54" t="s">
        <v>742</v>
      </c>
      <c r="B29" s="55" t="s">
        <v>743</v>
      </c>
      <c r="C29" s="8"/>
      <c r="D29" s="8"/>
    </row>
    <row r="30" ht="39" customHeight="1">
      <c r="A30" s="35"/>
      <c r="B30" s="396" t="s">
        <v>744</v>
      </c>
      <c r="C30" s="396"/>
      <c r="D30" s="396"/>
    </row>
    <row r="31" ht="43.5" customHeight="1">
      <c r="A31" s="35"/>
      <c r="B31" s="380"/>
      <c r="C31" s="381"/>
      <c r="D31" s="382"/>
    </row>
    <row r="32" ht="15.6">
      <c r="A32" s="35"/>
      <c r="B32" s="36"/>
      <c r="C32" s="8"/>
      <c r="D32" s="8"/>
    </row>
    <row r="33" ht="15.6">
      <c r="A33" s="54" t="s">
        <v>745</v>
      </c>
      <c r="B33" s="55" t="s">
        <v>746</v>
      </c>
      <c r="C33" s="8"/>
      <c r="D33" s="8"/>
    </row>
    <row r="34" ht="45" customHeight="1">
      <c r="A34" s="35"/>
      <c r="B34" s="396" t="s">
        <v>747</v>
      </c>
      <c r="C34" s="396"/>
      <c r="D34" s="396"/>
    </row>
    <row r="35" ht="39" customHeight="1">
      <c r="A35" s="35"/>
      <c r="B35" s="380"/>
      <c r="C35" s="381"/>
      <c r="D35" s="382"/>
    </row>
    <row r="36" ht="15.6">
      <c r="A36" s="35"/>
      <c r="B36" s="36"/>
      <c r="C36" s="8"/>
      <c r="D36" s="8"/>
    </row>
    <row r="37" ht="15.6">
      <c r="A37" s="37" t="s">
        <v>748</v>
      </c>
      <c r="B37" s="38" t="s">
        <v>749</v>
      </c>
      <c r="C37" s="8"/>
      <c r="D37" s="8"/>
    </row>
    <row r="38" ht="15.6">
      <c r="A38" s="35"/>
      <c r="B38" s="56" t="s">
        <v>750</v>
      </c>
      <c r="C38" s="43"/>
      <c r="D38" s="43"/>
    </row>
    <row r="39" ht="26.4">
      <c r="A39" s="35"/>
      <c r="B39" s="56" t="s">
        <v>751</v>
      </c>
      <c r="C39" s="43"/>
      <c r="D39" s="43"/>
    </row>
    <row r="40" ht="52.5" customHeight="1">
      <c r="A40" s="35"/>
      <c r="B40" s="380"/>
      <c r="C40" s="381"/>
      <c r="D40" s="382"/>
    </row>
    <row r="41" ht="15.6">
      <c r="A41" s="35"/>
      <c r="B41" s="36"/>
      <c r="C41" s="8"/>
      <c r="D41" s="8"/>
    </row>
    <row r="42" ht="15.6">
      <c r="A42" s="37" t="s">
        <v>752</v>
      </c>
      <c r="B42" s="38" t="s">
        <v>753</v>
      </c>
      <c r="C42" s="8"/>
      <c r="D42" s="8"/>
    </row>
    <row r="43" ht="15.6">
      <c r="A43" s="35"/>
      <c r="B43" s="384" t="s">
        <v>754</v>
      </c>
      <c r="C43" s="384"/>
      <c r="D43" s="384"/>
    </row>
    <row r="44" ht="15.6">
      <c r="A44" s="35"/>
      <c r="B44" s="384" t="s">
        <v>755</v>
      </c>
      <c r="C44" s="384"/>
      <c r="D44" s="384"/>
    </row>
    <row r="45" ht="15.6">
      <c r="A45" s="35"/>
      <c r="B45" s="384" t="s">
        <v>756</v>
      </c>
      <c r="C45" s="384"/>
      <c r="D45" s="384"/>
    </row>
    <row r="46" ht="84.75" customHeight="1">
      <c r="A46" s="35"/>
      <c r="B46" s="380"/>
      <c r="C46" s="381"/>
      <c r="D46" s="382"/>
    </row>
    <row r="47" ht="15.6">
      <c r="A47" s="35"/>
      <c r="B47" s="36"/>
      <c r="C47" s="8"/>
      <c r="D47" s="8"/>
    </row>
    <row r="48" ht="21">
      <c r="A48" s="33" t="s">
        <v>757</v>
      </c>
      <c r="B48" s="34" t="s">
        <v>758</v>
      </c>
      <c r="C48" s="8"/>
      <c r="D48" s="8"/>
    </row>
    <row r="49" ht="30.75" customHeight="1">
      <c r="A49" s="35"/>
      <c r="B49" s="384" t="s">
        <v>759</v>
      </c>
      <c r="C49" s="384"/>
      <c r="D49" s="384"/>
    </row>
    <row r="50" ht="15.6">
      <c r="A50" s="35"/>
      <c r="B50" s="397"/>
      <c r="C50" s="397"/>
      <c r="D50" s="397"/>
    </row>
    <row r="51" ht="15.6">
      <c r="A51" s="37" t="s">
        <v>760</v>
      </c>
      <c r="B51" s="38" t="s">
        <v>761</v>
      </c>
      <c r="C51" s="8"/>
      <c r="D51" s="8"/>
    </row>
    <row r="52" ht="15.6">
      <c r="A52" s="35"/>
      <c r="B52" s="384" t="s">
        <v>762</v>
      </c>
      <c r="C52" s="384"/>
      <c r="D52" s="384"/>
    </row>
    <row r="53" ht="15.6">
      <c r="A53" s="35"/>
      <c r="B53" s="397"/>
      <c r="C53" s="397"/>
      <c r="D53" s="397"/>
    </row>
    <row r="54" ht="51" customHeight="1">
      <c r="A54" s="35"/>
      <c r="B54" s="380" t="s">
        <v>763</v>
      </c>
      <c r="C54" s="381"/>
      <c r="D54" s="382"/>
    </row>
    <row r="55" ht="15.6">
      <c r="A55" s="35"/>
      <c r="B55" s="36"/>
      <c r="C55" s="8"/>
      <c r="D55" s="8"/>
    </row>
    <row r="56" ht="15.6">
      <c r="A56" s="37" t="s">
        <v>764</v>
      </c>
      <c r="B56" s="38" t="s">
        <v>765</v>
      </c>
      <c r="C56" s="8"/>
      <c r="D56" s="8"/>
    </row>
    <row r="57" ht="36" customHeight="1">
      <c r="A57" s="35"/>
      <c r="B57" s="396" t="s">
        <v>766</v>
      </c>
      <c r="C57" s="396"/>
      <c r="D57" s="396"/>
    </row>
    <row r="58" ht="77.25" customHeight="1">
      <c r="A58" s="57"/>
      <c r="B58" s="380" t="s">
        <v>767</v>
      </c>
      <c r="C58" s="381"/>
      <c r="D58" s="382"/>
    </row>
  </sheetData>
  <mergeCells>
    <mergeCell ref="B54:D54"/>
    <mergeCell ref="B57:D57"/>
    <mergeCell ref="B58:D58"/>
    <mergeCell ref="B45:D45"/>
    <mergeCell ref="B46:D46"/>
    <mergeCell ref="B49:D49"/>
    <mergeCell ref="B50:D50"/>
    <mergeCell ref="B52:D52"/>
    <mergeCell ref="B53:D53"/>
    <mergeCell ref="B44:D44"/>
    <mergeCell ref="B21:D21"/>
    <mergeCell ref="B22:D22"/>
    <mergeCell ref="B23:D23"/>
    <mergeCell ref="B26:D26"/>
    <mergeCell ref="B27:D27"/>
    <mergeCell ref="B30:D30"/>
    <mergeCell ref="B31:D31"/>
    <mergeCell ref="B34:D34"/>
    <mergeCell ref="B35:D35"/>
    <mergeCell ref="B40:D40"/>
    <mergeCell ref="B43:D43"/>
    <mergeCell ref="B11:D11"/>
    <mergeCell ref="B4:D4"/>
    <mergeCell ref="B5:D5"/>
    <mergeCell ref="B8:D8"/>
    <mergeCell ref="B9:D9"/>
    <mergeCell ref="B10:D10"/>
  </mergeCells>
  <phoneticPr fontId="6" type="noConversion"/>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G408"/>
  <sheetViews>
    <sheetView topLeftCell="A61" zoomScale="70" zoomScaleNormal="70" workbookViewId="0">
      <selection activeCell="A62" sqref="A62"/>
    </sheetView>
  </sheetViews>
  <sheetFormatPr defaultColWidth="9.33203125" defaultRowHeight="14.4"/>
  <cols>
    <col min="1" max="1" width="32.33203125" customWidth="1" style="14"/>
    <col min="2" max="2" width="20" customWidth="1" style="14"/>
    <col min="3" max="3" width="94.6640625" customWidth="1" style="14"/>
    <col min="4" max="4" width="16.44140625" customWidth="1" style="14"/>
    <col min="5" max="5" width="84.6640625" customWidth="1" style="14"/>
    <col min="6" max="6" width="114.6640625" customWidth="1" style="14"/>
    <col min="7" max="7" width="12.44140625" customWidth="1" style="14"/>
    <col min="8" max="8" width="9.33203125" customWidth="1" style="14"/>
    <col min="9" max="9" width="30.44140625" customWidth="1" style="14"/>
    <col min="10" max="28" width="9.33203125" customWidth="1" style="14"/>
    <col min="29" max="16384" width="9.33203125" customWidth="1" style="14"/>
  </cols>
  <sheetData>
    <row r="1" ht="126" customHeight="1">
      <c r="A1" s="398" t="s">
        <v>768</v>
      </c>
      <c r="B1" s="398"/>
      <c r="C1" s="398"/>
      <c r="D1" s="398"/>
      <c r="E1" s="398"/>
      <c r="F1" s="398"/>
    </row>
    <row r="2" ht="81.75" customHeight="1">
      <c r="A2" s="15" t="s">
        <v>769</v>
      </c>
      <c r="B2" s="15" t="s">
        <v>770</v>
      </c>
      <c r="C2" s="15" t="s">
        <v>771</v>
      </c>
      <c r="D2" s="15" t="s">
        <v>772</v>
      </c>
      <c r="E2" s="15" t="s">
        <v>87</v>
      </c>
      <c r="F2" s="15" t="s">
        <v>773</v>
      </c>
    </row>
    <row r="3" ht="189.75" customHeight="1">
      <c r="A3" s="147" t="s">
        <v>92</v>
      </c>
      <c r="B3" s="82" t="s">
        <v>774</v>
      </c>
      <c r="C3" s="82" t="s">
        <v>775</v>
      </c>
      <c r="D3" s="82" t="s">
        <v>776</v>
      </c>
      <c r="E3" s="84" t="s">
        <v>777</v>
      </c>
      <c r="F3" s="83" t="s">
        <v>778</v>
      </c>
    </row>
    <row r="4" ht="72.75" customHeight="1">
      <c r="A4" s="147" t="s">
        <v>130</v>
      </c>
      <c r="B4" s="82" t="s">
        <v>774</v>
      </c>
      <c r="C4" s="82" t="s">
        <v>779</v>
      </c>
      <c r="D4" s="82" t="s">
        <v>780</v>
      </c>
      <c r="E4" s="84" t="s">
        <v>781</v>
      </c>
      <c r="F4" s="85" t="s">
        <v>782</v>
      </c>
    </row>
    <row r="5" ht="30.75" customHeight="1">
      <c r="A5" s="147" t="s">
        <v>783</v>
      </c>
      <c r="B5" s="145" t="s">
        <v>774</v>
      </c>
      <c r="C5" s="82" t="s">
        <v>784</v>
      </c>
      <c r="D5" s="145" t="s">
        <v>780</v>
      </c>
      <c r="E5" s="144"/>
      <c r="F5" s="146"/>
    </row>
    <row r="6" ht="30.75" customHeight="1">
      <c r="A6" s="147" t="s">
        <v>785</v>
      </c>
      <c r="B6" s="145" t="s">
        <v>774</v>
      </c>
      <c r="C6" s="82" t="s">
        <v>784</v>
      </c>
      <c r="D6" s="145" t="s">
        <v>780</v>
      </c>
      <c r="E6" s="144"/>
      <c r="F6" s="146"/>
    </row>
    <row r="7" ht="164.25" customHeight="1">
      <c r="A7" s="147" t="s">
        <v>375</v>
      </c>
      <c r="B7" s="82" t="s">
        <v>786</v>
      </c>
      <c r="C7" s="82" t="s">
        <v>787</v>
      </c>
      <c r="D7" s="145" t="s">
        <v>788</v>
      </c>
      <c r="E7" s="144" t="s">
        <v>789</v>
      </c>
      <c r="F7" s="144" t="s">
        <v>790</v>
      </c>
      <c r="G7" s="163"/>
    </row>
    <row r="8" ht="95.25" customHeight="1">
      <c r="A8" s="147" t="s">
        <v>379</v>
      </c>
      <c r="B8" s="82" t="s">
        <v>786</v>
      </c>
      <c r="C8" s="82" t="s">
        <v>791</v>
      </c>
      <c r="D8" s="145" t="s">
        <v>791</v>
      </c>
      <c r="E8" s="144" t="s">
        <v>792</v>
      </c>
      <c r="F8" s="144" t="s">
        <v>793</v>
      </c>
    </row>
    <row r="9" ht="130.5" customHeight="1">
      <c r="A9" s="147" t="s">
        <v>794</v>
      </c>
      <c r="B9" s="82" t="s">
        <v>786</v>
      </c>
      <c r="C9" s="82" t="s">
        <v>795</v>
      </c>
      <c r="D9" s="145" t="s">
        <v>796</v>
      </c>
      <c r="E9" s="144"/>
      <c r="F9" s="144" t="s">
        <v>797</v>
      </c>
    </row>
    <row r="10" ht="130.5" customHeight="1">
      <c r="A10" s="147" t="s">
        <v>798</v>
      </c>
      <c r="B10" s="82" t="s">
        <v>786</v>
      </c>
      <c r="C10" s="82" t="s">
        <v>795</v>
      </c>
      <c r="D10" s="145" t="s">
        <v>796</v>
      </c>
      <c r="E10" s="144"/>
      <c r="F10" s="144" t="s">
        <v>799</v>
      </c>
    </row>
    <row r="11" ht="58.5" customHeight="1">
      <c r="A11" s="147" t="s">
        <v>800</v>
      </c>
      <c r="B11" s="145" t="s">
        <v>801</v>
      </c>
      <c r="C11" s="82" t="s">
        <v>802</v>
      </c>
      <c r="D11" s="145" t="s">
        <v>780</v>
      </c>
      <c r="E11" s="86" t="s">
        <v>803</v>
      </c>
      <c r="F11" s="144" t="s">
        <v>804</v>
      </c>
    </row>
    <row r="12" ht="50.25" customHeight="1">
      <c r="A12" s="147" t="s">
        <v>805</v>
      </c>
      <c r="B12" s="145" t="s">
        <v>801</v>
      </c>
      <c r="C12" s="164" t="s">
        <v>806</v>
      </c>
      <c r="D12" s="145" t="s">
        <v>807</v>
      </c>
      <c r="E12" s="144" t="s">
        <v>808</v>
      </c>
      <c r="F12" s="146" t="s">
        <v>809</v>
      </c>
    </row>
    <row r="13" ht="75.75" customHeight="1">
      <c r="A13" s="147" t="s">
        <v>810</v>
      </c>
      <c r="B13" s="145" t="s">
        <v>801</v>
      </c>
      <c r="C13" s="164" t="s">
        <v>811</v>
      </c>
      <c r="D13" s="145" t="s">
        <v>812</v>
      </c>
      <c r="E13" s="144" t="s">
        <v>813</v>
      </c>
      <c r="F13" s="144" t="s">
        <v>814</v>
      </c>
    </row>
    <row r="14" ht="65.25" customHeight="1">
      <c r="A14" s="147" t="s">
        <v>815</v>
      </c>
      <c r="B14" s="145" t="s">
        <v>801</v>
      </c>
      <c r="C14" s="164" t="s">
        <v>816</v>
      </c>
      <c r="D14" s="145" t="s">
        <v>817</v>
      </c>
      <c r="E14" s="144" t="s">
        <v>818</v>
      </c>
      <c r="F14" s="144" t="s">
        <v>819</v>
      </c>
    </row>
    <row r="15">
      <c r="A15" s="147" t="s">
        <v>820</v>
      </c>
      <c r="B15" s="145" t="s">
        <v>801</v>
      </c>
      <c r="C15" s="165" t="s">
        <v>821</v>
      </c>
      <c r="D15" s="145" t="s">
        <v>780</v>
      </c>
      <c r="E15" s="144" t="s">
        <v>822</v>
      </c>
      <c r="F15" s="146" t="s">
        <v>823</v>
      </c>
    </row>
    <row r="16" ht="27.6">
      <c r="A16" s="147" t="s">
        <v>824</v>
      </c>
      <c r="B16" s="145" t="s">
        <v>801</v>
      </c>
      <c r="C16" s="166" t="s">
        <v>825</v>
      </c>
      <c r="D16" s="145" t="s">
        <v>826</v>
      </c>
      <c r="E16" s="144" t="s">
        <v>827</v>
      </c>
      <c r="F16" s="146" t="s">
        <v>828</v>
      </c>
    </row>
    <row r="17" ht="41.4">
      <c r="A17" s="147" t="s">
        <v>541</v>
      </c>
      <c r="B17" s="145" t="s">
        <v>801</v>
      </c>
      <c r="C17" s="166" t="s">
        <v>829</v>
      </c>
      <c r="D17" s="145" t="s">
        <v>830</v>
      </c>
      <c r="E17" s="144" t="s">
        <v>831</v>
      </c>
      <c r="F17" s="146" t="s">
        <v>832</v>
      </c>
    </row>
    <row r="18" ht="120.75" customHeight="1">
      <c r="A18" s="147" t="s">
        <v>833</v>
      </c>
      <c r="B18" s="145" t="s">
        <v>801</v>
      </c>
      <c r="C18" s="166" t="s">
        <v>834</v>
      </c>
      <c r="D18" s="145" t="s">
        <v>835</v>
      </c>
      <c r="E18" s="144" t="s">
        <v>836</v>
      </c>
      <c r="F18" s="144" t="s">
        <v>837</v>
      </c>
    </row>
    <row r="19" ht="82.8">
      <c r="A19" s="147" t="s">
        <v>336</v>
      </c>
      <c r="B19" s="145" t="s">
        <v>838</v>
      </c>
      <c r="C19" s="82" t="s">
        <v>839</v>
      </c>
      <c r="D19" s="145" t="s">
        <v>840</v>
      </c>
      <c r="E19" s="144" t="s">
        <v>841</v>
      </c>
      <c r="F19" s="144" t="s">
        <v>842</v>
      </c>
    </row>
    <row r="20" ht="83.25" customHeight="1">
      <c r="A20" s="147" t="s">
        <v>843</v>
      </c>
      <c r="B20" s="145" t="s">
        <v>838</v>
      </c>
      <c r="C20" s="82" t="s">
        <v>844</v>
      </c>
      <c r="D20" s="145" t="s">
        <v>845</v>
      </c>
      <c r="E20" s="144" t="s">
        <v>846</v>
      </c>
      <c r="F20" s="144" t="s">
        <v>847</v>
      </c>
    </row>
    <row r="21" ht="71.25" customHeight="1">
      <c r="A21" s="147" t="s">
        <v>848</v>
      </c>
      <c r="B21" s="145" t="s">
        <v>838</v>
      </c>
      <c r="C21" s="82" t="s">
        <v>844</v>
      </c>
      <c r="D21" s="145" t="s">
        <v>845</v>
      </c>
      <c r="E21" s="144" t="s">
        <v>849</v>
      </c>
      <c r="F21" s="144" t="s">
        <v>850</v>
      </c>
    </row>
    <row r="22" ht="71.25" customHeight="1">
      <c r="A22" s="147" t="s">
        <v>851</v>
      </c>
      <c r="B22" s="145" t="s">
        <v>838</v>
      </c>
      <c r="C22" s="82" t="s">
        <v>844</v>
      </c>
      <c r="D22" s="145" t="s">
        <v>845</v>
      </c>
      <c r="E22" s="144" t="s">
        <v>852</v>
      </c>
      <c r="F22" s="144" t="s">
        <v>853</v>
      </c>
    </row>
    <row r="23" ht="71.25" customHeight="1">
      <c r="A23" s="147" t="s">
        <v>854</v>
      </c>
      <c r="B23" s="145" t="s">
        <v>838</v>
      </c>
      <c r="C23" s="82" t="s">
        <v>844</v>
      </c>
      <c r="D23" s="145" t="s">
        <v>845</v>
      </c>
      <c r="E23" s="144" t="s">
        <v>855</v>
      </c>
      <c r="F23" s="144" t="s">
        <v>856</v>
      </c>
    </row>
    <row r="24" ht="71.25" customHeight="1">
      <c r="A24" s="147" t="s">
        <v>857</v>
      </c>
      <c r="B24" s="145" t="s">
        <v>838</v>
      </c>
      <c r="C24" s="82" t="s">
        <v>844</v>
      </c>
      <c r="D24" s="145" t="s">
        <v>845</v>
      </c>
      <c r="E24" s="144" t="s">
        <v>858</v>
      </c>
      <c r="F24" s="144" t="s">
        <v>859</v>
      </c>
    </row>
    <row r="25" ht="71.25" customHeight="1">
      <c r="A25" s="147" t="s">
        <v>860</v>
      </c>
      <c r="B25" s="145" t="s">
        <v>838</v>
      </c>
      <c r="C25" s="82" t="s">
        <v>844</v>
      </c>
      <c r="D25" s="145" t="s">
        <v>845</v>
      </c>
      <c r="E25" s="144" t="s">
        <v>861</v>
      </c>
      <c r="F25" s="144" t="s">
        <v>862</v>
      </c>
    </row>
    <row r="26" ht="71.25" customHeight="1">
      <c r="A26" s="147" t="s">
        <v>863</v>
      </c>
      <c r="B26" s="145" t="s">
        <v>838</v>
      </c>
      <c r="C26" s="82" t="s">
        <v>844</v>
      </c>
      <c r="D26" s="145" t="s">
        <v>845</v>
      </c>
      <c r="E26" s="144" t="s">
        <v>864</v>
      </c>
      <c r="F26" s="144" t="s">
        <v>865</v>
      </c>
    </row>
    <row r="27" ht="74.25" customHeight="1">
      <c r="A27" s="147" t="s">
        <v>866</v>
      </c>
      <c r="B27" s="145" t="s">
        <v>838</v>
      </c>
      <c r="C27" s="82" t="s">
        <v>844</v>
      </c>
      <c r="D27" s="145" t="s">
        <v>845</v>
      </c>
      <c r="E27" s="144" t="s">
        <v>867</v>
      </c>
      <c r="F27" s="144" t="s">
        <v>868</v>
      </c>
    </row>
    <row r="28" ht="146.25" customHeight="1">
      <c r="A28" s="147" t="s">
        <v>123</v>
      </c>
      <c r="B28" s="145" t="s">
        <v>869</v>
      </c>
      <c r="C28" s="82" t="s">
        <v>870</v>
      </c>
      <c r="D28" s="145" t="s">
        <v>871</v>
      </c>
      <c r="E28" s="144" t="s">
        <v>872</v>
      </c>
      <c r="F28" s="144" t="s">
        <v>873</v>
      </c>
    </row>
    <row r="29" ht="194.25" customHeight="1">
      <c r="A29" s="147" t="s">
        <v>874</v>
      </c>
      <c r="B29" s="145" t="s">
        <v>869</v>
      </c>
      <c r="C29" s="82" t="s">
        <v>875</v>
      </c>
      <c r="D29" s="145" t="s">
        <v>876</v>
      </c>
      <c r="E29" s="144" t="s">
        <v>877</v>
      </c>
      <c r="F29" s="144" t="s">
        <v>878</v>
      </c>
    </row>
    <row r="30" ht="49.5" customHeight="1">
      <c r="A30" s="147" t="s">
        <v>879</v>
      </c>
      <c r="B30" s="145" t="s">
        <v>869</v>
      </c>
      <c r="C30" s="82" t="s">
        <v>880</v>
      </c>
      <c r="D30" s="145" t="s">
        <v>881</v>
      </c>
      <c r="E30" s="144" t="s">
        <v>882</v>
      </c>
      <c r="F30" s="146" t="s">
        <v>883</v>
      </c>
    </row>
    <row r="31" ht="91.5" customHeight="1">
      <c r="A31" s="147" t="s">
        <v>884</v>
      </c>
      <c r="B31" s="145" t="s">
        <v>869</v>
      </c>
      <c r="C31" s="164" t="s">
        <v>885</v>
      </c>
      <c r="D31" s="145" t="s">
        <v>886</v>
      </c>
      <c r="E31" s="144" t="s">
        <v>887</v>
      </c>
      <c r="F31" s="146" t="s">
        <v>888</v>
      </c>
    </row>
    <row r="32" ht="93" customHeight="1">
      <c r="A32" s="147" t="s">
        <v>355</v>
      </c>
      <c r="B32" s="145" t="s">
        <v>869</v>
      </c>
      <c r="C32" s="164" t="s">
        <v>889</v>
      </c>
      <c r="D32" s="145" t="s">
        <v>890</v>
      </c>
      <c r="E32" s="144" t="s">
        <v>891</v>
      </c>
      <c r="F32" s="146" t="s">
        <v>892</v>
      </c>
    </row>
    <row r="33" ht="44.25" customHeight="1">
      <c r="A33" s="147" t="s">
        <v>893</v>
      </c>
      <c r="B33" s="145" t="s">
        <v>869</v>
      </c>
      <c r="C33" s="82" t="s">
        <v>894</v>
      </c>
      <c r="D33" s="145" t="s">
        <v>890</v>
      </c>
      <c r="E33" s="144" t="s">
        <v>895</v>
      </c>
      <c r="F33" s="146" t="s">
        <v>896</v>
      </c>
    </row>
    <row r="34">
      <c r="A34" s="147" t="s">
        <v>897</v>
      </c>
      <c r="B34" s="145" t="s">
        <v>869</v>
      </c>
      <c r="C34" s="82" t="s">
        <v>898</v>
      </c>
      <c r="E34" s="144"/>
      <c r="F34" s="146"/>
    </row>
    <row r="35" ht="104.25" customHeight="1">
      <c r="A35" s="147" t="s">
        <v>899</v>
      </c>
      <c r="B35" s="145" t="s">
        <v>869</v>
      </c>
      <c r="C35" s="82" t="s">
        <v>900</v>
      </c>
      <c r="D35" s="145" t="s">
        <v>890</v>
      </c>
      <c r="E35" s="144" t="s">
        <v>901</v>
      </c>
      <c r="F35" s="144" t="s">
        <v>902</v>
      </c>
    </row>
    <row r="36" ht="89.25" customHeight="1">
      <c r="A36" s="147" t="s">
        <v>903</v>
      </c>
      <c r="B36" s="145" t="s">
        <v>869</v>
      </c>
      <c r="C36" s="82" t="s">
        <v>904</v>
      </c>
      <c r="D36" s="145" t="s">
        <v>890</v>
      </c>
      <c r="E36" s="144" t="s">
        <v>905</v>
      </c>
      <c r="F36" s="146" t="s">
        <v>906</v>
      </c>
    </row>
    <row r="37" ht="107.25" customHeight="1">
      <c r="A37" s="147" t="s">
        <v>907</v>
      </c>
      <c r="B37" s="145" t="s">
        <v>869</v>
      </c>
      <c r="C37" s="82" t="s">
        <v>904</v>
      </c>
      <c r="D37" s="145" t="s">
        <v>890</v>
      </c>
      <c r="E37" s="144" t="s">
        <v>908</v>
      </c>
      <c r="F37" s="146" t="s">
        <v>909</v>
      </c>
    </row>
    <row r="38" ht="92.25" customHeight="1">
      <c r="A38" s="147" t="s">
        <v>910</v>
      </c>
      <c r="B38" s="145" t="s">
        <v>869</v>
      </c>
      <c r="C38" s="164" t="s">
        <v>911</v>
      </c>
      <c r="D38" s="145" t="s">
        <v>807</v>
      </c>
      <c r="E38" s="144" t="s">
        <v>912</v>
      </c>
      <c r="F38" s="144" t="s">
        <v>913</v>
      </c>
    </row>
    <row r="39" ht="66.75" customHeight="1">
      <c r="A39" s="147" t="s">
        <v>399</v>
      </c>
      <c r="B39" s="145" t="s">
        <v>869</v>
      </c>
      <c r="C39" s="164" t="s">
        <v>914</v>
      </c>
      <c r="D39" s="145" t="s">
        <v>915</v>
      </c>
      <c r="E39" s="144" t="s">
        <v>916</v>
      </c>
      <c r="F39" s="144" t="s">
        <v>917</v>
      </c>
    </row>
    <row r="40" ht="121.5" customHeight="1">
      <c r="A40" s="147" t="s">
        <v>357</v>
      </c>
      <c r="B40" s="145" t="s">
        <v>869</v>
      </c>
      <c r="C40" s="167" t="s">
        <v>918</v>
      </c>
      <c r="D40" s="145" t="s">
        <v>881</v>
      </c>
      <c r="E40" s="144" t="s">
        <v>919</v>
      </c>
      <c r="F40" s="144" t="s">
        <v>920</v>
      </c>
    </row>
    <row r="41" ht="124.2">
      <c r="A41" s="147" t="s">
        <v>921</v>
      </c>
      <c r="B41" s="145" t="s">
        <v>869</v>
      </c>
      <c r="C41" s="164" t="s">
        <v>922</v>
      </c>
      <c r="D41" s="145" t="s">
        <v>923</v>
      </c>
      <c r="E41" s="144" t="s">
        <v>924</v>
      </c>
      <c r="F41" s="144" t="s">
        <v>925</v>
      </c>
    </row>
    <row r="42" ht="60.75" customHeight="1">
      <c r="A42" s="147" t="s">
        <v>926</v>
      </c>
      <c r="B42" s="145" t="s">
        <v>869</v>
      </c>
      <c r="C42" s="82" t="s">
        <v>927</v>
      </c>
      <c r="D42" s="145" t="s">
        <v>780</v>
      </c>
      <c r="E42" s="144" t="s">
        <v>928</v>
      </c>
      <c r="F42" s="144" t="s">
        <v>929</v>
      </c>
    </row>
    <row r="43" ht="45" customHeight="1">
      <c r="A43" s="147" t="s">
        <v>930</v>
      </c>
      <c r="B43" s="145" t="s">
        <v>869</v>
      </c>
      <c r="C43" s="82" t="s">
        <v>927</v>
      </c>
      <c r="D43" s="145" t="s">
        <v>780</v>
      </c>
      <c r="E43" s="144" t="s">
        <v>931</v>
      </c>
      <c r="F43" s="144" t="s">
        <v>932</v>
      </c>
    </row>
    <row r="44" ht="45.75" customHeight="1">
      <c r="A44" s="147" t="s">
        <v>933</v>
      </c>
      <c r="B44" s="145" t="s">
        <v>869</v>
      </c>
      <c r="C44" s="82" t="s">
        <v>927</v>
      </c>
      <c r="D44" s="145" t="s">
        <v>780</v>
      </c>
      <c r="E44" s="144" t="s">
        <v>934</v>
      </c>
      <c r="F44" s="144" t="s">
        <v>935</v>
      </c>
    </row>
    <row r="45" ht="51.75" customHeight="1">
      <c r="A45" s="147" t="s">
        <v>936</v>
      </c>
      <c r="B45" s="145" t="s">
        <v>869</v>
      </c>
      <c r="C45" s="82" t="s">
        <v>937</v>
      </c>
      <c r="D45" s="145" t="s">
        <v>780</v>
      </c>
      <c r="E45" s="144"/>
      <c r="F45" s="144" t="s">
        <v>938</v>
      </c>
    </row>
    <row r="46" ht="213" customHeight="1">
      <c r="A46" s="399" t="s">
        <v>110</v>
      </c>
      <c r="B46" s="400" t="s">
        <v>110</v>
      </c>
      <c r="C46" s="401" t="s">
        <v>939</v>
      </c>
      <c r="D46" s="400" t="s">
        <v>940</v>
      </c>
      <c r="E46" s="402" t="s">
        <v>941</v>
      </c>
      <c r="F46" s="403" t="s">
        <v>942</v>
      </c>
    </row>
    <row r="47" ht="111.75" customHeight="1">
      <c r="A47" s="399"/>
      <c r="B47" s="400"/>
      <c r="C47" s="401"/>
      <c r="D47" s="400"/>
      <c r="E47" s="402"/>
      <c r="F47" s="404"/>
    </row>
    <row r="48" ht="111.75" customHeight="1">
      <c r="A48" s="399"/>
      <c r="B48" s="400"/>
      <c r="C48" s="401"/>
      <c r="D48" s="400"/>
      <c r="E48" s="402"/>
      <c r="F48" s="404"/>
    </row>
    <row r="49" ht="111.75" customHeight="1">
      <c r="A49" s="399"/>
      <c r="B49" s="400"/>
      <c r="C49" s="401"/>
      <c r="D49" s="400"/>
      <c r="E49" s="402"/>
      <c r="F49" s="404"/>
    </row>
    <row r="50" ht="111.75" customHeight="1">
      <c r="A50" s="399"/>
      <c r="B50" s="400"/>
      <c r="C50" s="401"/>
      <c r="D50" s="400"/>
      <c r="E50" s="402"/>
      <c r="F50" s="404"/>
    </row>
    <row r="51" ht="15" customHeight="1">
      <c r="A51" s="399"/>
      <c r="B51" s="400"/>
      <c r="C51" s="401"/>
      <c r="D51" s="400"/>
      <c r="E51" s="402"/>
      <c r="F51" s="404"/>
    </row>
    <row r="52" ht="75.75" customHeight="1">
      <c r="A52" s="399"/>
      <c r="B52" s="400"/>
      <c r="C52" s="401"/>
      <c r="D52" s="400"/>
      <c r="E52" s="402"/>
      <c r="F52" s="404"/>
    </row>
    <row r="53" ht="27.6">
      <c r="A53" s="147" t="s">
        <v>139</v>
      </c>
      <c r="B53" s="145" t="s">
        <v>943</v>
      </c>
      <c r="C53" s="164" t="s">
        <v>944</v>
      </c>
      <c r="D53" s="145" t="s">
        <v>945</v>
      </c>
      <c r="E53" s="144" t="s">
        <v>946</v>
      </c>
      <c r="F53" s="144" t="s">
        <v>947</v>
      </c>
    </row>
    <row r="54" ht="27.6">
      <c r="A54" s="147" t="s">
        <v>144</v>
      </c>
      <c r="B54" s="145" t="s">
        <v>943</v>
      </c>
      <c r="C54" s="166" t="s">
        <v>948</v>
      </c>
      <c r="D54" s="145" t="s">
        <v>949</v>
      </c>
      <c r="E54" s="144" t="s">
        <v>950</v>
      </c>
      <c r="F54" s="144" t="s">
        <v>951</v>
      </c>
    </row>
    <row r="55">
      <c r="A55" s="147" t="s">
        <v>147</v>
      </c>
      <c r="B55" s="145" t="s">
        <v>952</v>
      </c>
      <c r="C55" s="82" t="s">
        <v>953</v>
      </c>
      <c r="D55" s="145" t="s">
        <v>954</v>
      </c>
      <c r="E55" s="144" t="s">
        <v>955</v>
      </c>
      <c r="F55" s="146" t="s">
        <v>956</v>
      </c>
    </row>
    <row r="56">
      <c r="A56" s="147" t="s">
        <v>146</v>
      </c>
      <c r="B56" s="145" t="s">
        <v>952</v>
      </c>
      <c r="C56" s="82" t="s">
        <v>957</v>
      </c>
      <c r="D56" s="145" t="s">
        <v>840</v>
      </c>
      <c r="E56" s="144" t="s">
        <v>958</v>
      </c>
      <c r="F56" s="146" t="s">
        <v>959</v>
      </c>
    </row>
    <row r="57">
      <c r="A57" s="147" t="s">
        <v>960</v>
      </c>
      <c r="B57" s="145" t="s">
        <v>952</v>
      </c>
      <c r="C57" s="82" t="s">
        <v>961</v>
      </c>
      <c r="D57" s="145" t="s">
        <v>954</v>
      </c>
      <c r="E57" s="144" t="s">
        <v>962</v>
      </c>
      <c r="F57" s="146" t="s">
        <v>963</v>
      </c>
    </row>
    <row r="58">
      <c r="A58" s="147" t="s">
        <v>964</v>
      </c>
      <c r="B58" s="145" t="s">
        <v>952</v>
      </c>
      <c r="C58" s="82" t="s">
        <v>965</v>
      </c>
      <c r="D58" s="145" t="s">
        <v>966</v>
      </c>
      <c r="E58" s="144" t="s">
        <v>967</v>
      </c>
      <c r="F58" s="146" t="s">
        <v>968</v>
      </c>
    </row>
    <row r="59" ht="135" customHeight="1">
      <c r="A59" s="147" t="s">
        <v>150</v>
      </c>
      <c r="B59" s="145" t="s">
        <v>952</v>
      </c>
      <c r="C59" s="164" t="s">
        <v>969</v>
      </c>
      <c r="D59" s="145" t="s">
        <v>970</v>
      </c>
      <c r="E59" s="168" t="s">
        <v>971</v>
      </c>
      <c r="F59" s="144" t="s">
        <v>972</v>
      </c>
    </row>
    <row r="60" ht="44.25" customHeight="1">
      <c r="A60" s="147" t="s">
        <v>490</v>
      </c>
      <c r="B60" s="145" t="s">
        <v>952</v>
      </c>
      <c r="C60" s="164" t="s">
        <v>973</v>
      </c>
      <c r="D60" s="145" t="s">
        <v>974</v>
      </c>
      <c r="E60" s="168" t="s">
        <v>975</v>
      </c>
      <c r="F60" s="146" t="s">
        <v>976</v>
      </c>
    </row>
    <row r="61" ht="103.5" customHeight="1">
      <c r="A61" s="147" t="s">
        <v>977</v>
      </c>
      <c r="B61" s="145" t="s">
        <v>952</v>
      </c>
      <c r="C61" s="164" t="s">
        <v>978</v>
      </c>
      <c r="D61" s="145" t="s">
        <v>979</v>
      </c>
      <c r="E61" s="168" t="s">
        <v>980</v>
      </c>
      <c r="F61" s="144" t="s">
        <v>981</v>
      </c>
    </row>
    <row r="62" ht="68.25" customHeight="1">
      <c r="A62" s="147" t="s">
        <v>242</v>
      </c>
      <c r="B62" s="145" t="s">
        <v>952</v>
      </c>
      <c r="C62" s="82" t="s">
        <v>982</v>
      </c>
      <c r="D62" s="145" t="s">
        <v>983</v>
      </c>
      <c r="E62" s="144" t="s">
        <v>984</v>
      </c>
      <c r="F62" s="144" t="s">
        <v>985</v>
      </c>
    </row>
    <row r="63" ht="57.75" customHeight="1">
      <c r="A63" s="147" t="s">
        <v>986</v>
      </c>
      <c r="B63" s="145" t="s">
        <v>952</v>
      </c>
      <c r="C63" s="82" t="s">
        <v>987</v>
      </c>
      <c r="D63" s="145" t="s">
        <v>988</v>
      </c>
      <c r="E63" s="144" t="s">
        <v>989</v>
      </c>
      <c r="F63" s="144" t="s">
        <v>990</v>
      </c>
    </row>
    <row r="64" ht="39" customHeight="1">
      <c r="A64" s="147" t="s">
        <v>991</v>
      </c>
      <c r="B64" s="145" t="s">
        <v>952</v>
      </c>
      <c r="C64" s="169" t="s">
        <v>992</v>
      </c>
      <c r="D64" s="145" t="s">
        <v>840</v>
      </c>
      <c r="E64" s="144" t="s">
        <v>993</v>
      </c>
      <c r="F64" s="144" t="s">
        <v>994</v>
      </c>
    </row>
    <row r="65" ht="40.5" customHeight="1">
      <c r="A65" s="147" t="s">
        <v>142</v>
      </c>
      <c r="B65" s="145" t="s">
        <v>995</v>
      </c>
      <c r="C65" s="82" t="s">
        <v>996</v>
      </c>
      <c r="D65" s="145" t="s">
        <v>780</v>
      </c>
      <c r="E65" s="144" t="s">
        <v>997</v>
      </c>
      <c r="F65" s="146" t="s">
        <v>998</v>
      </c>
    </row>
    <row r="66" ht="50.25" customHeight="1">
      <c r="A66" s="147" t="s">
        <v>999</v>
      </c>
      <c r="B66" s="145" t="s">
        <v>995</v>
      </c>
      <c r="C66" s="82" t="s">
        <v>1000</v>
      </c>
      <c r="D66" s="145" t="s">
        <v>1001</v>
      </c>
      <c r="E66" s="144" t="s">
        <v>1002</v>
      </c>
      <c r="F66" s="144" t="s">
        <v>1003</v>
      </c>
    </row>
    <row r="67" ht="82.8">
      <c r="A67" s="147" t="s">
        <v>349</v>
      </c>
      <c r="B67" s="145" t="s">
        <v>995</v>
      </c>
      <c r="C67" s="164" t="s">
        <v>1004</v>
      </c>
      <c r="D67" s="82" t="s">
        <v>807</v>
      </c>
      <c r="E67" s="144" t="s">
        <v>1005</v>
      </c>
      <c r="F67" s="144" t="s">
        <v>1006</v>
      </c>
    </row>
    <row r="68" ht="409.5" customHeight="1" s="170" customFormat="1">
      <c r="A68" s="406" t="s">
        <v>1007</v>
      </c>
      <c r="B68" s="407" t="s">
        <v>995</v>
      </c>
      <c r="C68" s="408" t="s">
        <v>1008</v>
      </c>
      <c r="D68" s="408"/>
      <c r="E68" s="409" t="s">
        <v>1009</v>
      </c>
      <c r="F68" s="405" t="s">
        <v>1010</v>
      </c>
    </row>
    <row r="69" ht="238.5" customHeight="1" s="170" customFormat="1">
      <c r="A69" s="406"/>
      <c r="B69" s="407"/>
      <c r="C69" s="408"/>
      <c r="D69" s="408"/>
      <c r="E69" s="409"/>
      <c r="F69" s="405"/>
    </row>
    <row r="70" ht="72" customHeight="1" s="170" customFormat="1">
      <c r="A70" s="171" t="s">
        <v>1011</v>
      </c>
      <c r="B70" s="172" t="s">
        <v>995</v>
      </c>
      <c r="C70" s="173" t="s">
        <v>1012</v>
      </c>
      <c r="D70" s="173" t="s">
        <v>840</v>
      </c>
      <c r="E70" s="174" t="s">
        <v>1013</v>
      </c>
      <c r="F70" s="175" t="s">
        <v>1014</v>
      </c>
    </row>
    <row r="71" ht="72" customHeight="1" s="170" customFormat="1">
      <c r="A71" s="171" t="s">
        <v>1015</v>
      </c>
      <c r="B71" s="172" t="s">
        <v>995</v>
      </c>
      <c r="C71" s="173" t="s">
        <v>1012</v>
      </c>
      <c r="D71" s="173" t="s">
        <v>840</v>
      </c>
      <c r="E71" s="174" t="s">
        <v>1016</v>
      </c>
      <c r="F71" s="175" t="s">
        <v>1017</v>
      </c>
    </row>
    <row r="72" ht="72" customHeight="1" s="170" customFormat="1">
      <c r="A72" s="171" t="s">
        <v>1018</v>
      </c>
      <c r="B72" s="172" t="s">
        <v>995</v>
      </c>
      <c r="C72" s="173" t="s">
        <v>791</v>
      </c>
      <c r="D72" s="173" t="s">
        <v>1019</v>
      </c>
      <c r="E72" s="174" t="s">
        <v>1020</v>
      </c>
      <c r="F72" s="175"/>
    </row>
    <row r="73" ht="72" customHeight="1" s="170" customFormat="1">
      <c r="A73" s="171" t="s">
        <v>1021</v>
      </c>
      <c r="B73" s="172" t="s">
        <v>995</v>
      </c>
      <c r="C73" s="173" t="s">
        <v>791</v>
      </c>
      <c r="D73" s="173" t="s">
        <v>1019</v>
      </c>
      <c r="E73" s="174" t="s">
        <v>1022</v>
      </c>
      <c r="F73" s="175"/>
    </row>
    <row r="74" ht="138">
      <c r="A74" s="176" t="s">
        <v>413</v>
      </c>
      <c r="B74" s="177" t="s">
        <v>1023</v>
      </c>
      <c r="C74" s="177" t="s">
        <v>1024</v>
      </c>
      <c r="D74" s="177" t="s">
        <v>1025</v>
      </c>
      <c r="E74" s="178" t="s">
        <v>1026</v>
      </c>
      <c r="F74" s="179" t="s">
        <v>1027</v>
      </c>
    </row>
    <row r="75" ht="151.8">
      <c r="A75" s="176" t="s">
        <v>450</v>
      </c>
      <c r="B75" s="177" t="s">
        <v>1023</v>
      </c>
      <c r="C75" s="177" t="s">
        <v>1028</v>
      </c>
      <c r="D75" s="177" t="s">
        <v>1029</v>
      </c>
      <c r="E75" s="178" t="s">
        <v>1030</v>
      </c>
      <c r="F75" s="179" t="s">
        <v>1031</v>
      </c>
    </row>
    <row r="76" ht="111" customHeight="1">
      <c r="A76" s="176" t="s">
        <v>425</v>
      </c>
      <c r="B76" s="177" t="s">
        <v>1023</v>
      </c>
      <c r="C76" s="177" t="s">
        <v>1032</v>
      </c>
      <c r="D76" s="177" t="s">
        <v>1033</v>
      </c>
      <c r="E76" s="178" t="s">
        <v>1034</v>
      </c>
      <c r="F76" s="179" t="s">
        <v>1035</v>
      </c>
    </row>
    <row r="77" ht="262.5" customHeight="1">
      <c r="A77" s="180" t="s">
        <v>1036</v>
      </c>
      <c r="B77" s="181" t="s">
        <v>1037</v>
      </c>
      <c r="C77" s="19" t="s">
        <v>1038</v>
      </c>
      <c r="D77" s="181" t="s">
        <v>1039</v>
      </c>
      <c r="E77" s="182" t="s">
        <v>1040</v>
      </c>
      <c r="F77" s="182" t="s">
        <v>1041</v>
      </c>
    </row>
    <row r="78" ht="283.5" customHeight="1">
      <c r="A78" s="180" t="s">
        <v>1042</v>
      </c>
      <c r="B78" s="181" t="s">
        <v>1037</v>
      </c>
      <c r="C78" s="19" t="s">
        <v>1043</v>
      </c>
      <c r="D78" s="181" t="s">
        <v>1044</v>
      </c>
      <c r="E78" s="182" t="s">
        <v>1045</v>
      </c>
      <c r="F78" s="183" t="s">
        <v>1046</v>
      </c>
    </row>
    <row r="79" ht="348.75" customHeight="1">
      <c r="A79" s="180" t="s">
        <v>1047</v>
      </c>
      <c r="B79" s="181" t="s">
        <v>1037</v>
      </c>
      <c r="C79" s="19" t="s">
        <v>1048</v>
      </c>
      <c r="D79" s="181" t="s">
        <v>1049</v>
      </c>
      <c r="E79" s="182" t="s">
        <v>1050</v>
      </c>
      <c r="F79" s="183" t="s">
        <v>1051</v>
      </c>
    </row>
    <row r="80" ht="127.5" customHeight="1">
      <c r="A80" s="147" t="s">
        <v>1052</v>
      </c>
      <c r="B80" s="145" t="s">
        <v>1037</v>
      </c>
      <c r="C80" s="82" t="s">
        <v>1053</v>
      </c>
      <c r="D80" s="184" t="s">
        <v>1054</v>
      </c>
      <c r="E80" s="144" t="s">
        <v>1055</v>
      </c>
      <c r="F80" s="144" t="s">
        <v>1056</v>
      </c>
    </row>
    <row r="81" ht="82.8" s="189" customFormat="1">
      <c r="A81" s="185" t="s">
        <v>333</v>
      </c>
      <c r="B81" s="186" t="s">
        <v>1057</v>
      </c>
      <c r="C81" s="187" t="s">
        <v>1058</v>
      </c>
      <c r="D81" s="186" t="s">
        <v>1059</v>
      </c>
      <c r="E81" s="188" t="s">
        <v>1060</v>
      </c>
      <c r="F81" s="188" t="s">
        <v>1061</v>
      </c>
    </row>
    <row r="82" ht="82.8" s="189" customFormat="1">
      <c r="A82" s="185" t="s">
        <v>337</v>
      </c>
      <c r="B82" s="186" t="s">
        <v>1057</v>
      </c>
      <c r="C82" s="187" t="s">
        <v>1062</v>
      </c>
      <c r="D82" s="186" t="s">
        <v>1059</v>
      </c>
      <c r="E82" s="188" t="s">
        <v>1063</v>
      </c>
      <c r="F82" s="188" t="s">
        <v>1064</v>
      </c>
    </row>
    <row r="83" ht="55.2" s="189" customFormat="1">
      <c r="A83" s="185" t="s">
        <v>340</v>
      </c>
      <c r="B83" s="186" t="s">
        <v>1057</v>
      </c>
      <c r="C83" s="187" t="s">
        <v>1065</v>
      </c>
      <c r="D83" s="186" t="s">
        <v>1066</v>
      </c>
      <c r="E83" s="188" t="s">
        <v>1067</v>
      </c>
      <c r="F83" s="188" t="s">
        <v>1068</v>
      </c>
    </row>
    <row r="84" ht="55.2" s="189" customFormat="1">
      <c r="A84" s="185" t="s">
        <v>1069</v>
      </c>
      <c r="B84" s="186" t="s">
        <v>1057</v>
      </c>
      <c r="C84" s="187" t="s">
        <v>1070</v>
      </c>
      <c r="D84" s="186" t="s">
        <v>1059</v>
      </c>
      <c r="E84" s="188" t="s">
        <v>1071</v>
      </c>
      <c r="F84" s="188" t="s">
        <v>1072</v>
      </c>
    </row>
    <row r="85" ht="82.8" s="189" customFormat="1">
      <c r="A85" s="185" t="s">
        <v>1073</v>
      </c>
      <c r="B85" s="186" t="s">
        <v>1057</v>
      </c>
      <c r="C85" s="187" t="s">
        <v>1074</v>
      </c>
      <c r="D85" s="186" t="s">
        <v>1059</v>
      </c>
      <c r="E85" s="188" t="s">
        <v>1075</v>
      </c>
      <c r="F85" s="190" t="s">
        <v>1076</v>
      </c>
    </row>
    <row r="86" ht="110.4" s="189" customFormat="1">
      <c r="A86" s="185" t="s">
        <v>1077</v>
      </c>
      <c r="B86" s="186" t="s">
        <v>1057</v>
      </c>
      <c r="C86" s="187" t="s">
        <v>1078</v>
      </c>
      <c r="D86" s="186" t="s">
        <v>1079</v>
      </c>
      <c r="E86" s="188" t="s">
        <v>1080</v>
      </c>
      <c r="F86" s="188" t="s">
        <v>1081</v>
      </c>
    </row>
    <row r="87" ht="193.2" s="189" customFormat="1">
      <c r="A87" s="185" t="s">
        <v>1082</v>
      </c>
      <c r="B87" s="186" t="s">
        <v>1057</v>
      </c>
      <c r="C87" s="187" t="s">
        <v>1083</v>
      </c>
      <c r="D87" s="186" t="s">
        <v>1084</v>
      </c>
      <c r="E87" s="188" t="s">
        <v>1085</v>
      </c>
      <c r="F87" s="188" t="s">
        <v>1086</v>
      </c>
    </row>
    <row r="88" ht="209.25" customHeight="1" s="189" customFormat="1">
      <c r="A88" s="185" t="s">
        <v>351</v>
      </c>
      <c r="B88" s="186" t="s">
        <v>1057</v>
      </c>
      <c r="C88" s="187" t="s">
        <v>1087</v>
      </c>
      <c r="D88" s="186" t="s">
        <v>1088</v>
      </c>
      <c r="E88" s="188" t="s">
        <v>1089</v>
      </c>
      <c r="F88" s="188" t="s">
        <v>1090</v>
      </c>
    </row>
    <row r="89" ht="195" customHeight="1">
      <c r="A89" s="147" t="s">
        <v>1091</v>
      </c>
      <c r="B89" s="145" t="s">
        <v>1092</v>
      </c>
      <c r="C89" s="82" t="s">
        <v>1093</v>
      </c>
      <c r="D89" s="186" t="s">
        <v>1094</v>
      </c>
      <c r="E89" s="144" t="s">
        <v>1095</v>
      </c>
      <c r="F89" s="144" t="s">
        <v>1096</v>
      </c>
    </row>
    <row r="90" ht="76.5" customHeight="1">
      <c r="A90" s="147" t="s">
        <v>1097</v>
      </c>
      <c r="B90" s="145" t="s">
        <v>1092</v>
      </c>
      <c r="C90" s="82" t="s">
        <v>1098</v>
      </c>
      <c r="D90" s="186" t="s">
        <v>1099</v>
      </c>
      <c r="E90" s="144" t="s">
        <v>1100</v>
      </c>
      <c r="F90" s="144" t="s">
        <v>1101</v>
      </c>
    </row>
    <row r="91" ht="61.5" customHeight="1">
      <c r="A91" s="147" t="s">
        <v>1102</v>
      </c>
      <c r="B91" s="145" t="s">
        <v>1092</v>
      </c>
      <c r="C91" s="82" t="s">
        <v>1103</v>
      </c>
      <c r="D91" s="186" t="s">
        <v>835</v>
      </c>
      <c r="E91" s="144" t="s">
        <v>1104</v>
      </c>
      <c r="F91" s="144" t="s">
        <v>1105</v>
      </c>
    </row>
    <row r="92" ht="346.5" customHeight="1">
      <c r="A92" s="147" t="s">
        <v>1106</v>
      </c>
      <c r="B92" s="145" t="s">
        <v>1092</v>
      </c>
      <c r="C92" s="82" t="s">
        <v>1107</v>
      </c>
      <c r="D92" s="186" t="s">
        <v>1108</v>
      </c>
      <c r="E92" s="144" t="s">
        <v>1109</v>
      </c>
      <c r="F92" s="144" t="s">
        <v>1110</v>
      </c>
    </row>
    <row r="93" ht="240" customHeight="1">
      <c r="A93" s="147" t="s">
        <v>1111</v>
      </c>
      <c r="B93" s="145" t="s">
        <v>1092</v>
      </c>
      <c r="C93" s="82" t="s">
        <v>1112</v>
      </c>
      <c r="D93" s="186" t="s">
        <v>1113</v>
      </c>
      <c r="E93" s="144" t="s">
        <v>1114</v>
      </c>
      <c r="F93" s="144" t="s">
        <v>1115</v>
      </c>
    </row>
    <row r="94" ht="281.25" customHeight="1">
      <c r="A94" s="147" t="s">
        <v>1116</v>
      </c>
      <c r="B94" s="145" t="s">
        <v>1092</v>
      </c>
      <c r="C94" s="82" t="s">
        <v>1117</v>
      </c>
      <c r="D94" s="186" t="s">
        <v>1118</v>
      </c>
      <c r="E94" s="144" t="s">
        <v>1119</v>
      </c>
      <c r="F94" s="144" t="s">
        <v>1120</v>
      </c>
    </row>
    <row r="95" ht="148.5" customHeight="1">
      <c r="A95" s="147" t="s">
        <v>1121</v>
      </c>
      <c r="B95" s="145" t="s">
        <v>1092</v>
      </c>
      <c r="C95" s="82" t="s">
        <v>1122</v>
      </c>
      <c r="D95" s="186" t="s">
        <v>1094</v>
      </c>
      <c r="E95" s="144" t="s">
        <v>1123</v>
      </c>
      <c r="F95" s="144" t="s">
        <v>1124</v>
      </c>
    </row>
    <row r="96" ht="102" customHeight="1">
      <c r="A96" s="147" t="s">
        <v>1125</v>
      </c>
      <c r="B96" s="145" t="s">
        <v>1092</v>
      </c>
      <c r="C96" s="82" t="s">
        <v>1126</v>
      </c>
      <c r="D96" s="186" t="s">
        <v>1127</v>
      </c>
      <c r="E96" s="144" t="s">
        <v>1128</v>
      </c>
      <c r="F96" s="144" t="s">
        <v>1129</v>
      </c>
    </row>
    <row r="97" ht="50.25" customHeight="1">
      <c r="A97" s="147" t="s">
        <v>1130</v>
      </c>
      <c r="B97" s="145" t="s">
        <v>1131</v>
      </c>
      <c r="C97" s="82" t="s">
        <v>1132</v>
      </c>
      <c r="E97" s="144" t="s">
        <v>1133</v>
      </c>
      <c r="F97" s="403" t="s">
        <v>1134</v>
      </c>
    </row>
    <row r="98" ht="50.25" customHeight="1">
      <c r="A98" s="147" t="s">
        <v>1135</v>
      </c>
      <c r="B98" s="145" t="s">
        <v>1131</v>
      </c>
      <c r="C98" s="82" t="s">
        <v>1132</v>
      </c>
      <c r="E98" s="144" t="s">
        <v>1133</v>
      </c>
      <c r="F98" s="403"/>
    </row>
    <row r="99" ht="50.25" customHeight="1">
      <c r="A99" s="147" t="s">
        <v>1136</v>
      </c>
      <c r="B99" s="145" t="s">
        <v>1131</v>
      </c>
      <c r="C99" s="82" t="s">
        <v>791</v>
      </c>
      <c r="E99" s="144" t="s">
        <v>1133</v>
      </c>
      <c r="F99" s="403"/>
    </row>
    <row r="100" ht="50.25" customHeight="1">
      <c r="A100" s="147" t="s">
        <v>1137</v>
      </c>
      <c r="B100" s="145" t="s">
        <v>1131</v>
      </c>
      <c r="C100" s="145" t="s">
        <v>791</v>
      </c>
      <c r="E100" s="144" t="s">
        <v>1138</v>
      </c>
      <c r="F100" s="403"/>
    </row>
    <row r="101">
      <c r="A101" s="147"/>
      <c r="B101" s="145"/>
      <c r="C101" s="145"/>
      <c r="E101" s="144"/>
      <c r="F101" s="144"/>
    </row>
    <row r="102">
      <c r="A102" s="147"/>
      <c r="B102" s="145"/>
      <c r="C102" s="145"/>
      <c r="E102" s="144"/>
      <c r="F102" s="144"/>
    </row>
    <row r="103">
      <c r="A103" s="147"/>
      <c r="B103" s="145"/>
      <c r="C103" s="145"/>
      <c r="E103" s="144"/>
      <c r="F103" s="144"/>
    </row>
    <row r="104">
      <c r="A104" s="147"/>
      <c r="B104" s="145"/>
      <c r="C104" s="145"/>
      <c r="E104" s="144"/>
      <c r="F104" s="144"/>
    </row>
    <row r="105">
      <c r="A105" s="147"/>
      <c r="B105" s="145"/>
      <c r="C105" s="145"/>
      <c r="E105" s="144"/>
      <c r="F105" s="144"/>
    </row>
    <row r="106">
      <c r="A106" s="147"/>
      <c r="B106" s="145"/>
      <c r="C106" s="145"/>
      <c r="E106" s="144"/>
      <c r="F106" s="144"/>
    </row>
    <row r="107">
      <c r="A107" s="147"/>
      <c r="B107" s="145"/>
      <c r="C107" s="145"/>
      <c r="E107" s="144"/>
      <c r="F107" s="144"/>
    </row>
    <row r="108">
      <c r="A108" s="147"/>
      <c r="B108" s="145"/>
      <c r="C108" s="145"/>
      <c r="E108" s="144"/>
      <c r="F108" s="144"/>
    </row>
    <row r="109">
      <c r="A109" s="147"/>
      <c r="B109" s="145"/>
      <c r="C109" s="145"/>
      <c r="E109" s="144"/>
      <c r="F109" s="144"/>
    </row>
    <row r="110">
      <c r="A110" s="147"/>
      <c r="B110" s="145"/>
      <c r="C110" s="145"/>
      <c r="E110" s="144"/>
      <c r="F110" s="144"/>
    </row>
    <row r="111">
      <c r="A111" s="147"/>
      <c r="B111" s="145"/>
      <c r="C111" s="145"/>
      <c r="E111" s="144"/>
      <c r="F111" s="144"/>
    </row>
    <row r="112">
      <c r="A112" s="147"/>
      <c r="B112" s="145"/>
      <c r="C112" s="145"/>
      <c r="E112" s="144"/>
      <c r="F112" s="144"/>
    </row>
    <row r="113">
      <c r="A113" s="147"/>
      <c r="B113" s="145"/>
      <c r="C113" s="145"/>
      <c r="E113" s="144"/>
      <c r="F113" s="144"/>
    </row>
    <row r="114">
      <c r="A114" s="147"/>
      <c r="B114" s="145"/>
      <c r="C114" s="145"/>
      <c r="E114" s="144"/>
      <c r="F114" s="144"/>
    </row>
    <row r="115">
      <c r="A115" s="147"/>
      <c r="B115" s="145"/>
      <c r="C115" s="145"/>
      <c r="E115" s="144"/>
      <c r="F115" s="144"/>
    </row>
    <row r="116">
      <c r="A116" s="147"/>
      <c r="B116" s="145"/>
      <c r="C116" s="145"/>
      <c r="E116" s="144"/>
      <c r="F116" s="144"/>
    </row>
    <row r="117">
      <c r="A117" s="147"/>
      <c r="B117" s="145"/>
      <c r="C117" s="145"/>
      <c r="E117" s="144"/>
      <c r="F117" s="144"/>
    </row>
    <row r="118">
      <c r="A118" s="147"/>
      <c r="B118" s="145"/>
      <c r="C118" s="145"/>
      <c r="E118" s="144"/>
      <c r="F118" s="144"/>
    </row>
    <row r="119">
      <c r="A119" s="147"/>
      <c r="B119" s="145"/>
      <c r="C119" s="145"/>
      <c r="E119" s="144"/>
      <c r="F119" s="144"/>
    </row>
    <row r="120">
      <c r="A120" s="147"/>
      <c r="B120" s="145"/>
      <c r="C120" s="145"/>
      <c r="E120" s="144"/>
      <c r="F120" s="144"/>
    </row>
    <row r="121">
      <c r="A121" s="147"/>
      <c r="B121" s="145"/>
      <c r="C121" s="145"/>
      <c r="E121" s="144"/>
      <c r="F121" s="144"/>
    </row>
    <row r="122">
      <c r="A122" s="147"/>
      <c r="B122" s="145"/>
      <c r="C122" s="145"/>
      <c r="E122" s="144"/>
      <c r="F122" s="144"/>
    </row>
    <row r="123">
      <c r="A123" s="147"/>
      <c r="B123" s="145"/>
      <c r="C123" s="145"/>
      <c r="E123" s="144"/>
      <c r="F123" s="144"/>
    </row>
    <row r="124">
      <c r="A124" s="147"/>
      <c r="B124" s="145"/>
      <c r="C124" s="145"/>
      <c r="E124" s="144"/>
      <c r="F124" s="144"/>
    </row>
    <row r="125">
      <c r="A125" s="147"/>
      <c r="B125" s="145"/>
      <c r="C125" s="145"/>
      <c r="E125" s="144"/>
      <c r="F125" s="144"/>
    </row>
    <row r="126">
      <c r="A126" s="147"/>
      <c r="B126" s="145"/>
      <c r="C126" s="145"/>
      <c r="E126" s="144"/>
      <c r="F126" s="144"/>
    </row>
    <row r="127">
      <c r="A127" s="147"/>
      <c r="B127" s="145"/>
      <c r="C127" s="145"/>
      <c r="E127" s="144"/>
      <c r="F127" s="144"/>
    </row>
    <row r="128">
      <c r="A128" s="147"/>
      <c r="B128" s="145"/>
      <c r="C128" s="145"/>
      <c r="E128" s="144"/>
      <c r="F128" s="144"/>
    </row>
    <row r="129">
      <c r="A129" s="147"/>
      <c r="B129" s="145"/>
      <c r="C129" s="145"/>
      <c r="E129" s="144"/>
      <c r="F129" s="144"/>
    </row>
    <row r="130">
      <c r="A130" s="147"/>
      <c r="B130" s="145"/>
      <c r="C130" s="145"/>
      <c r="E130" s="144"/>
      <c r="F130" s="144"/>
    </row>
    <row r="131">
      <c r="A131" s="147"/>
      <c r="B131" s="145"/>
      <c r="C131" s="145"/>
      <c r="E131" s="144"/>
      <c r="F131" s="144"/>
    </row>
    <row r="132">
      <c r="A132" s="147"/>
      <c r="B132" s="145"/>
      <c r="C132" s="145"/>
      <c r="E132" s="144"/>
      <c r="F132" s="144"/>
    </row>
    <row r="133">
      <c r="A133" s="147"/>
      <c r="B133" s="145"/>
      <c r="C133" s="145"/>
      <c r="E133" s="144"/>
      <c r="F133" s="144"/>
    </row>
    <row r="134">
      <c r="A134" s="147"/>
      <c r="B134" s="145"/>
      <c r="C134" s="145"/>
      <c r="E134" s="144"/>
      <c r="F134" s="144"/>
    </row>
    <row r="135">
      <c r="A135" s="147"/>
      <c r="B135" s="145"/>
      <c r="C135" s="145"/>
      <c r="E135" s="144"/>
      <c r="F135" s="144"/>
    </row>
    <row r="136">
      <c r="A136" s="147"/>
      <c r="B136" s="145"/>
      <c r="C136" s="145"/>
      <c r="E136" s="144"/>
      <c r="F136" s="144"/>
    </row>
    <row r="137">
      <c r="A137" s="147"/>
      <c r="B137" s="145"/>
      <c r="C137" s="145"/>
      <c r="E137" s="144"/>
      <c r="F137" s="144"/>
    </row>
    <row r="138">
      <c r="A138" s="147"/>
      <c r="B138" s="145"/>
      <c r="C138" s="145"/>
      <c r="E138" s="144"/>
      <c r="F138" s="144"/>
    </row>
    <row r="139">
      <c r="A139" s="147"/>
      <c r="B139" s="145"/>
      <c r="C139" s="145"/>
      <c r="E139" s="144"/>
      <c r="F139" s="144"/>
    </row>
    <row r="140">
      <c r="A140" s="147"/>
      <c r="B140" s="145"/>
      <c r="C140" s="145"/>
      <c r="E140" s="144"/>
      <c r="F140" s="144"/>
    </row>
    <row r="141">
      <c r="A141" s="147"/>
      <c r="B141" s="145"/>
      <c r="C141" s="145"/>
      <c r="E141" s="144"/>
      <c r="F141" s="144"/>
    </row>
    <row r="142">
      <c r="A142" s="147"/>
      <c r="B142" s="145"/>
      <c r="C142" s="145"/>
      <c r="E142" s="144"/>
      <c r="F142" s="144"/>
    </row>
    <row r="143">
      <c r="A143" s="147"/>
      <c r="B143" s="145"/>
      <c r="C143" s="145"/>
      <c r="E143" s="144"/>
      <c r="F143" s="144"/>
    </row>
    <row r="144">
      <c r="A144" s="147"/>
      <c r="B144" s="145"/>
      <c r="C144" s="145"/>
      <c r="E144" s="144"/>
      <c r="F144" s="144"/>
    </row>
    <row r="145">
      <c r="A145" s="147"/>
      <c r="B145" s="145"/>
      <c r="C145" s="145"/>
      <c r="E145" s="144"/>
      <c r="F145" s="144"/>
    </row>
    <row r="146">
      <c r="A146" s="147"/>
      <c r="B146" s="145"/>
      <c r="C146" s="145"/>
      <c r="E146" s="144"/>
      <c r="F146" s="144"/>
    </row>
    <row r="147">
      <c r="A147" s="147"/>
      <c r="B147" s="145"/>
      <c r="C147" s="145"/>
      <c r="E147" s="144"/>
      <c r="F147" s="144"/>
    </row>
    <row r="148">
      <c r="A148" s="147"/>
      <c r="B148" s="145"/>
      <c r="C148" s="145"/>
      <c r="E148" s="144"/>
      <c r="F148" s="144"/>
    </row>
    <row r="149">
      <c r="A149" s="147"/>
      <c r="B149" s="145"/>
      <c r="C149" s="145"/>
      <c r="E149" s="144"/>
      <c r="F149" s="144"/>
    </row>
    <row r="150">
      <c r="A150" s="147"/>
      <c r="B150" s="145"/>
      <c r="C150" s="145"/>
      <c r="E150" s="144"/>
      <c r="F150" s="144"/>
    </row>
    <row r="151">
      <c r="A151" s="147"/>
      <c r="B151" s="145"/>
      <c r="C151" s="145"/>
      <c r="E151" s="144"/>
      <c r="F151" s="144"/>
    </row>
    <row r="152">
      <c r="A152" s="147"/>
      <c r="B152" s="145"/>
      <c r="C152" s="145"/>
      <c r="E152" s="144"/>
      <c r="F152" s="144"/>
    </row>
    <row r="153">
      <c r="A153" s="147"/>
      <c r="B153" s="145"/>
      <c r="C153" s="145"/>
      <c r="E153" s="144"/>
      <c r="F153" s="144"/>
    </row>
    <row r="154">
      <c r="A154" s="147"/>
      <c r="B154" s="145"/>
      <c r="C154" s="145"/>
      <c r="E154" s="144"/>
      <c r="F154" s="144"/>
    </row>
    <row r="155">
      <c r="A155" s="147"/>
      <c r="B155" s="145"/>
      <c r="C155" s="145"/>
      <c r="E155" s="144"/>
      <c r="F155" s="144"/>
    </row>
    <row r="156">
      <c r="A156" s="147"/>
      <c r="B156" s="145"/>
      <c r="C156" s="145"/>
      <c r="E156" s="144"/>
      <c r="F156" s="144"/>
    </row>
    <row r="157">
      <c r="A157" s="147"/>
      <c r="B157" s="145"/>
      <c r="C157" s="145"/>
      <c r="E157" s="144"/>
      <c r="F157" s="144"/>
    </row>
    <row r="158">
      <c r="A158" s="147"/>
      <c r="B158" s="145"/>
      <c r="C158" s="145"/>
      <c r="E158" s="144"/>
      <c r="F158" s="144"/>
    </row>
    <row r="159">
      <c r="A159" s="147"/>
      <c r="B159" s="145"/>
      <c r="C159" s="145"/>
      <c r="E159" s="144"/>
      <c r="F159" s="144"/>
    </row>
    <row r="160">
      <c r="A160" s="147"/>
      <c r="B160" s="145"/>
      <c r="C160" s="145"/>
      <c r="E160" s="144"/>
      <c r="F160" s="144"/>
    </row>
    <row r="161">
      <c r="A161" s="147"/>
      <c r="B161" s="145"/>
      <c r="C161" s="145"/>
      <c r="E161" s="144"/>
      <c r="F161" s="144"/>
    </row>
    <row r="162">
      <c r="A162" s="147"/>
      <c r="B162" s="145"/>
      <c r="C162" s="145"/>
      <c r="E162" s="144"/>
      <c r="F162" s="144"/>
    </row>
    <row r="163">
      <c r="A163" s="147"/>
      <c r="B163" s="145"/>
      <c r="C163" s="145"/>
      <c r="E163" s="144"/>
      <c r="F163" s="144"/>
    </row>
    <row r="164">
      <c r="A164" s="147"/>
      <c r="B164" s="145"/>
      <c r="C164" s="145"/>
      <c r="E164" s="144"/>
      <c r="F164" s="144"/>
    </row>
    <row r="165">
      <c r="A165" s="147"/>
      <c r="B165" s="145"/>
      <c r="C165" s="145"/>
      <c r="E165" s="144"/>
      <c r="F165" s="144"/>
    </row>
    <row r="166">
      <c r="A166" s="147"/>
      <c r="B166" s="145"/>
      <c r="C166" s="145"/>
      <c r="E166" s="144"/>
      <c r="F166" s="144"/>
    </row>
    <row r="167">
      <c r="A167" s="147"/>
      <c r="B167" s="145"/>
      <c r="C167" s="145"/>
      <c r="E167" s="144"/>
      <c r="F167" s="144"/>
    </row>
    <row r="168">
      <c r="A168" s="147"/>
      <c r="B168" s="145"/>
      <c r="C168" s="145"/>
      <c r="E168" s="144"/>
      <c r="F168" s="144"/>
    </row>
    <row r="169">
      <c r="A169" s="147"/>
      <c r="B169" s="145"/>
      <c r="C169" s="145"/>
      <c r="E169" s="144"/>
      <c r="F169" s="144"/>
    </row>
    <row r="170">
      <c r="A170" s="147"/>
      <c r="B170" s="145"/>
      <c r="C170" s="145"/>
      <c r="E170" s="144"/>
      <c r="F170" s="144"/>
    </row>
    <row r="171">
      <c r="A171" s="147"/>
      <c r="B171" s="145"/>
      <c r="C171" s="145"/>
      <c r="E171" s="144"/>
      <c r="F171" s="144"/>
    </row>
    <row r="172">
      <c r="A172" s="147"/>
      <c r="B172" s="145"/>
      <c r="C172" s="145"/>
      <c r="E172" s="144"/>
      <c r="F172" s="144"/>
    </row>
    <row r="173">
      <c r="A173" s="147"/>
      <c r="B173" s="145"/>
      <c r="C173" s="145"/>
      <c r="E173" s="144"/>
      <c r="F173" s="144"/>
    </row>
    <row r="174">
      <c r="A174" s="147"/>
      <c r="B174" s="145"/>
      <c r="C174" s="145"/>
      <c r="E174" s="144"/>
      <c r="F174" s="144"/>
    </row>
    <row r="175">
      <c r="A175" s="147"/>
      <c r="B175" s="145"/>
      <c r="C175" s="145"/>
      <c r="E175" s="144"/>
      <c r="F175" s="144"/>
    </row>
    <row r="176">
      <c r="A176" s="147"/>
      <c r="B176" s="145"/>
      <c r="C176" s="145"/>
      <c r="E176" s="144"/>
      <c r="F176" s="144"/>
    </row>
    <row r="177">
      <c r="A177" s="147"/>
      <c r="B177" s="145"/>
      <c r="C177" s="145"/>
      <c r="E177" s="144"/>
      <c r="F177" s="144"/>
    </row>
    <row r="178">
      <c r="A178" s="147"/>
      <c r="B178" s="145"/>
      <c r="C178" s="145"/>
      <c r="E178" s="144"/>
      <c r="F178" s="144"/>
    </row>
    <row r="179">
      <c r="A179" s="147"/>
      <c r="B179" s="145"/>
      <c r="C179" s="145"/>
      <c r="E179" s="144"/>
      <c r="F179" s="144"/>
    </row>
    <row r="180">
      <c r="A180" s="147"/>
      <c r="B180" s="145"/>
      <c r="C180" s="145"/>
      <c r="E180" s="144"/>
      <c r="F180" s="144"/>
    </row>
    <row r="181">
      <c r="A181" s="147"/>
      <c r="B181" s="145"/>
      <c r="C181" s="145"/>
      <c r="E181" s="144"/>
      <c r="F181" s="144"/>
    </row>
    <row r="182">
      <c r="A182" s="147"/>
      <c r="B182" s="145"/>
      <c r="C182" s="145"/>
      <c r="E182" s="144"/>
      <c r="F182" s="144"/>
    </row>
    <row r="183">
      <c r="A183" s="147"/>
      <c r="B183" s="145"/>
      <c r="C183" s="145"/>
      <c r="E183" s="144"/>
      <c r="F183" s="144"/>
    </row>
    <row r="184">
      <c r="A184" s="147"/>
      <c r="B184" s="145"/>
      <c r="C184" s="145"/>
      <c r="E184" s="144"/>
      <c r="F184" s="144"/>
    </row>
    <row r="185">
      <c r="A185" s="147"/>
      <c r="B185" s="145"/>
      <c r="C185" s="145"/>
      <c r="E185" s="144"/>
      <c r="F185" s="144"/>
    </row>
    <row r="186">
      <c r="A186" s="147"/>
      <c r="B186" s="145"/>
      <c r="C186" s="145"/>
      <c r="E186" s="144"/>
      <c r="F186" s="144"/>
    </row>
    <row r="187">
      <c r="A187" s="147"/>
      <c r="B187" s="145"/>
      <c r="C187" s="145"/>
      <c r="E187" s="144"/>
      <c r="F187" s="144"/>
    </row>
    <row r="188">
      <c r="A188" s="147"/>
      <c r="B188" s="145"/>
      <c r="C188" s="145"/>
      <c r="E188" s="144"/>
      <c r="F188" s="144"/>
    </row>
    <row r="189">
      <c r="A189" s="147"/>
      <c r="B189" s="145"/>
      <c r="C189" s="145"/>
      <c r="E189" s="144"/>
      <c r="F189" s="144"/>
    </row>
    <row r="190">
      <c r="A190" s="147"/>
      <c r="B190" s="145"/>
      <c r="C190" s="145"/>
      <c r="E190" s="144"/>
      <c r="F190" s="144"/>
    </row>
    <row r="191">
      <c r="A191" s="147"/>
      <c r="B191" s="145"/>
      <c r="C191" s="145"/>
      <c r="E191" s="144"/>
      <c r="F191" s="144"/>
    </row>
    <row r="192">
      <c r="A192" s="147"/>
      <c r="B192" s="145"/>
      <c r="C192" s="145"/>
      <c r="E192" s="144"/>
      <c r="F192" s="144"/>
    </row>
    <row r="193">
      <c r="A193" s="147"/>
      <c r="B193" s="145"/>
      <c r="C193" s="145"/>
      <c r="E193" s="144"/>
      <c r="F193" s="144"/>
    </row>
    <row r="194">
      <c r="A194" s="147"/>
      <c r="B194" s="145"/>
      <c r="C194" s="145"/>
      <c r="E194" s="144"/>
      <c r="F194" s="144"/>
    </row>
    <row r="195">
      <c r="A195" s="147"/>
      <c r="B195" s="145"/>
      <c r="C195" s="145"/>
      <c r="E195" s="144"/>
      <c r="F195" s="144"/>
    </row>
    <row r="196">
      <c r="A196" s="147"/>
      <c r="B196" s="145"/>
      <c r="C196" s="145"/>
      <c r="E196" s="144"/>
      <c r="F196" s="144"/>
    </row>
    <row r="197">
      <c r="A197" s="147"/>
      <c r="B197" s="145"/>
      <c r="C197" s="145"/>
      <c r="E197" s="144"/>
      <c r="F197" s="144"/>
    </row>
    <row r="198">
      <c r="A198" s="147"/>
      <c r="B198" s="145"/>
      <c r="C198" s="145"/>
      <c r="E198" s="144"/>
      <c r="F198" s="144"/>
    </row>
    <row r="199">
      <c r="A199" s="147"/>
      <c r="B199" s="145"/>
      <c r="C199" s="145"/>
      <c r="E199" s="144"/>
      <c r="F199" s="144"/>
    </row>
    <row r="200">
      <c r="A200" s="147"/>
      <c r="B200" s="145"/>
      <c r="C200" s="145"/>
      <c r="E200" s="144"/>
      <c r="F200" s="144"/>
    </row>
    <row r="201">
      <c r="A201" s="147"/>
      <c r="B201" s="145"/>
      <c r="C201" s="145"/>
      <c r="E201" s="144"/>
      <c r="F201" s="144"/>
    </row>
    <row r="202">
      <c r="A202" s="147"/>
      <c r="B202" s="145"/>
      <c r="C202" s="145"/>
      <c r="E202" s="144"/>
      <c r="F202" s="144"/>
    </row>
    <row r="203">
      <c r="A203" s="147"/>
      <c r="B203" s="145"/>
      <c r="C203" s="145"/>
      <c r="E203" s="144"/>
      <c r="F203" s="144"/>
    </row>
    <row r="204">
      <c r="A204" s="147"/>
      <c r="B204" s="145"/>
      <c r="C204" s="145"/>
      <c r="E204" s="144"/>
      <c r="F204" s="144"/>
    </row>
    <row r="205">
      <c r="A205" s="147"/>
      <c r="B205" s="145"/>
      <c r="C205" s="145"/>
      <c r="E205" s="144"/>
      <c r="F205" s="144"/>
    </row>
    <row r="206">
      <c r="A206" s="147"/>
      <c r="B206" s="145"/>
      <c r="C206" s="145"/>
      <c r="E206" s="144"/>
      <c r="F206" s="144"/>
    </row>
    <row r="207">
      <c r="A207" s="147"/>
      <c r="B207" s="145"/>
      <c r="C207" s="145"/>
      <c r="E207" s="144"/>
      <c r="F207" s="144"/>
    </row>
    <row r="208">
      <c r="A208" s="147"/>
      <c r="B208" s="145"/>
      <c r="C208" s="145"/>
      <c r="E208" s="144"/>
      <c r="F208" s="144"/>
    </row>
    <row r="209">
      <c r="A209" s="147"/>
      <c r="B209" s="145"/>
      <c r="C209" s="145"/>
      <c r="E209" s="144"/>
      <c r="F209" s="144"/>
    </row>
    <row r="210">
      <c r="A210" s="147"/>
      <c r="B210" s="145"/>
      <c r="C210" s="145"/>
      <c r="E210" s="144"/>
      <c r="F210" s="144"/>
    </row>
    <row r="211">
      <c r="A211" s="147"/>
      <c r="B211" s="145"/>
      <c r="C211" s="145"/>
      <c r="E211" s="144"/>
      <c r="F211" s="144"/>
    </row>
    <row r="212">
      <c r="A212" s="147"/>
      <c r="B212" s="145"/>
      <c r="C212" s="145"/>
      <c r="E212" s="144"/>
      <c r="F212" s="144"/>
    </row>
    <row r="213">
      <c r="A213" s="147"/>
      <c r="B213" s="145"/>
      <c r="C213" s="145"/>
      <c r="E213" s="144"/>
      <c r="F213" s="144"/>
    </row>
    <row r="214">
      <c r="A214" s="147"/>
      <c r="B214" s="145"/>
      <c r="C214" s="145"/>
      <c r="E214" s="144"/>
      <c r="F214" s="144"/>
    </row>
    <row r="215">
      <c r="A215" s="147"/>
      <c r="B215" s="145"/>
      <c r="C215" s="145"/>
      <c r="E215" s="144"/>
      <c r="F215" s="144"/>
    </row>
    <row r="216">
      <c r="A216" s="147"/>
      <c r="B216" s="145"/>
      <c r="C216" s="145"/>
      <c r="E216" s="144"/>
      <c r="F216" s="144"/>
    </row>
    <row r="217">
      <c r="A217" s="147"/>
      <c r="B217" s="145"/>
      <c r="C217" s="145"/>
      <c r="E217" s="144"/>
      <c r="F217" s="144"/>
    </row>
    <row r="218">
      <c r="A218" s="147"/>
      <c r="B218" s="145"/>
      <c r="C218" s="145"/>
      <c r="E218" s="144"/>
      <c r="F218" s="144"/>
    </row>
    <row r="219">
      <c r="A219" s="147"/>
      <c r="B219" s="145"/>
      <c r="C219" s="145"/>
      <c r="E219" s="144"/>
      <c r="F219" s="144"/>
    </row>
    <row r="220">
      <c r="A220" s="147"/>
      <c r="B220" s="145"/>
      <c r="C220" s="145"/>
      <c r="E220" s="144"/>
      <c r="F220" s="144"/>
    </row>
    <row r="221">
      <c r="A221" s="147"/>
      <c r="B221" s="145"/>
      <c r="C221" s="145"/>
      <c r="E221" s="144"/>
      <c r="F221" s="144"/>
    </row>
    <row r="222">
      <c r="A222" s="147"/>
      <c r="B222" s="145"/>
      <c r="C222" s="145"/>
      <c r="E222" s="144"/>
      <c r="F222" s="144"/>
    </row>
    <row r="223">
      <c r="A223" s="147"/>
      <c r="B223" s="145"/>
      <c r="C223" s="145"/>
      <c r="E223" s="144"/>
      <c r="F223" s="144"/>
    </row>
    <row r="224">
      <c r="A224" s="147"/>
      <c r="B224" s="145"/>
      <c r="C224" s="145"/>
      <c r="E224" s="144"/>
      <c r="F224" s="144"/>
    </row>
    <row r="225">
      <c r="A225" s="147"/>
      <c r="B225" s="145"/>
      <c r="C225" s="145"/>
      <c r="E225" s="144"/>
      <c r="F225" s="144"/>
    </row>
    <row r="226">
      <c r="A226" s="147"/>
      <c r="B226" s="145"/>
      <c r="C226" s="145"/>
      <c r="E226" s="144"/>
      <c r="F226" s="144"/>
    </row>
    <row r="227">
      <c r="A227" s="147"/>
      <c r="B227" s="145"/>
      <c r="C227" s="145"/>
      <c r="E227" s="144"/>
      <c r="F227" s="144"/>
    </row>
    <row r="228">
      <c r="A228" s="147"/>
      <c r="B228" s="145"/>
      <c r="C228" s="145"/>
      <c r="E228" s="144"/>
      <c r="F228" s="144"/>
    </row>
    <row r="229">
      <c r="A229" s="147"/>
      <c r="B229" s="145"/>
      <c r="C229" s="145"/>
      <c r="E229" s="144"/>
      <c r="F229" s="144"/>
    </row>
    <row r="230">
      <c r="A230" s="147"/>
      <c r="B230" s="145"/>
      <c r="C230" s="145"/>
      <c r="E230" s="144"/>
      <c r="F230" s="144"/>
    </row>
    <row r="231">
      <c r="A231" s="147"/>
      <c r="B231" s="145"/>
      <c r="C231" s="145"/>
      <c r="E231" s="144"/>
      <c r="F231" s="144"/>
    </row>
    <row r="232">
      <c r="A232" s="147"/>
      <c r="B232" s="145"/>
      <c r="C232" s="145"/>
      <c r="E232" s="144"/>
      <c r="F232" s="144"/>
    </row>
    <row r="233">
      <c r="A233" s="147"/>
      <c r="B233" s="145"/>
      <c r="C233" s="145"/>
      <c r="E233" s="144"/>
      <c r="F233" s="144"/>
    </row>
    <row r="234">
      <c r="A234" s="147"/>
      <c r="B234" s="145"/>
      <c r="C234" s="145"/>
      <c r="E234" s="144"/>
      <c r="F234" s="144"/>
    </row>
    <row r="235">
      <c r="A235" s="147"/>
      <c r="B235" s="145"/>
      <c r="C235" s="145"/>
      <c r="E235" s="144"/>
      <c r="F235" s="144"/>
    </row>
    <row r="236">
      <c r="A236" s="147"/>
      <c r="B236" s="145"/>
      <c r="C236" s="145"/>
      <c r="E236" s="144"/>
      <c r="F236" s="144"/>
    </row>
    <row r="237">
      <c r="A237" s="147"/>
      <c r="B237" s="145"/>
      <c r="C237" s="145"/>
      <c r="E237" s="144"/>
      <c r="F237" s="144"/>
    </row>
    <row r="238">
      <c r="A238" s="147"/>
      <c r="B238" s="145"/>
      <c r="C238" s="145"/>
      <c r="E238" s="144"/>
      <c r="F238" s="144"/>
    </row>
    <row r="239">
      <c r="A239" s="147"/>
      <c r="B239" s="145"/>
      <c r="C239" s="145"/>
      <c r="E239" s="144"/>
      <c r="F239" s="144"/>
    </row>
    <row r="240">
      <c r="A240" s="147"/>
      <c r="B240" s="145"/>
      <c r="C240" s="145"/>
      <c r="E240" s="144"/>
      <c r="F240" s="144"/>
    </row>
    <row r="241">
      <c r="A241" s="147"/>
      <c r="B241" s="145"/>
      <c r="C241" s="145"/>
      <c r="E241" s="144"/>
      <c r="F241" s="144"/>
    </row>
    <row r="242">
      <c r="A242" s="147"/>
      <c r="B242" s="145"/>
      <c r="C242" s="145"/>
      <c r="E242" s="144"/>
      <c r="F242" s="144"/>
    </row>
    <row r="243">
      <c r="A243" s="147"/>
      <c r="B243" s="145"/>
      <c r="C243" s="145"/>
      <c r="E243" s="144"/>
      <c r="F243" s="144"/>
    </row>
    <row r="244">
      <c r="A244" s="147"/>
      <c r="B244" s="145"/>
      <c r="C244" s="145"/>
      <c r="E244" s="144"/>
      <c r="F244" s="144"/>
    </row>
    <row r="245">
      <c r="A245" s="147"/>
      <c r="B245" s="145"/>
      <c r="C245" s="145"/>
      <c r="E245" s="144"/>
      <c r="F245" s="144"/>
    </row>
    <row r="246">
      <c r="A246" s="147"/>
      <c r="B246" s="145"/>
      <c r="C246" s="145"/>
      <c r="E246" s="144"/>
      <c r="F246" s="144"/>
    </row>
    <row r="247">
      <c r="A247" s="147"/>
      <c r="B247" s="145"/>
      <c r="C247" s="145"/>
      <c r="E247" s="144"/>
      <c r="F247" s="144"/>
    </row>
    <row r="248">
      <c r="A248" s="147"/>
      <c r="B248" s="145"/>
      <c r="C248" s="145"/>
      <c r="E248" s="144"/>
      <c r="F248" s="144"/>
    </row>
    <row r="249">
      <c r="A249" s="147"/>
      <c r="B249" s="145"/>
      <c r="C249" s="145"/>
      <c r="E249" s="144"/>
      <c r="F249" s="144"/>
    </row>
    <row r="250">
      <c r="A250" s="147"/>
      <c r="B250" s="145"/>
      <c r="C250" s="145"/>
      <c r="E250" s="144"/>
      <c r="F250" s="144"/>
    </row>
    <row r="251">
      <c r="A251" s="147"/>
      <c r="B251" s="145"/>
      <c r="C251" s="145"/>
      <c r="E251" s="144"/>
      <c r="F251" s="144"/>
    </row>
    <row r="252">
      <c r="A252" s="147"/>
      <c r="B252" s="145"/>
      <c r="C252" s="145"/>
      <c r="E252" s="144"/>
      <c r="F252" s="144"/>
    </row>
    <row r="253">
      <c r="A253" s="147"/>
      <c r="B253" s="145"/>
      <c r="C253" s="145"/>
      <c r="E253" s="144"/>
      <c r="F253" s="144"/>
    </row>
    <row r="254">
      <c r="A254" s="147"/>
      <c r="B254" s="145"/>
      <c r="C254" s="145"/>
      <c r="E254" s="144"/>
      <c r="F254" s="144"/>
    </row>
    <row r="255">
      <c r="A255" s="147"/>
      <c r="B255" s="145"/>
      <c r="C255" s="145"/>
      <c r="E255" s="144"/>
      <c r="F255" s="144"/>
    </row>
    <row r="256">
      <c r="A256" s="147"/>
      <c r="B256" s="145"/>
      <c r="C256" s="145"/>
      <c r="E256" s="144"/>
      <c r="F256" s="144"/>
    </row>
    <row r="257">
      <c r="A257" s="147"/>
      <c r="B257" s="145"/>
      <c r="C257" s="145"/>
      <c r="E257" s="144"/>
      <c r="F257" s="144"/>
    </row>
    <row r="258">
      <c r="A258" s="147"/>
      <c r="B258" s="145"/>
      <c r="C258" s="145"/>
      <c r="E258" s="144"/>
      <c r="F258" s="144"/>
    </row>
    <row r="259">
      <c r="A259" s="147"/>
      <c r="B259" s="145"/>
      <c r="C259" s="145"/>
      <c r="E259" s="144"/>
      <c r="F259" s="144"/>
    </row>
    <row r="260">
      <c r="A260" s="147"/>
      <c r="B260" s="145"/>
      <c r="C260" s="145"/>
      <c r="E260" s="144"/>
      <c r="F260" s="144"/>
    </row>
    <row r="261">
      <c r="A261" s="147"/>
      <c r="B261" s="145"/>
      <c r="C261" s="145"/>
      <c r="E261" s="144"/>
      <c r="F261" s="144"/>
    </row>
    <row r="262">
      <c r="A262" s="147"/>
      <c r="B262" s="145"/>
      <c r="C262" s="145"/>
      <c r="E262" s="144"/>
      <c r="F262" s="144"/>
    </row>
    <row r="263">
      <c r="A263" s="147"/>
      <c r="B263" s="145"/>
      <c r="C263" s="145"/>
      <c r="E263" s="144"/>
      <c r="F263" s="144"/>
    </row>
    <row r="264">
      <c r="A264" s="147"/>
      <c r="B264" s="145"/>
      <c r="C264" s="145"/>
      <c r="E264" s="144"/>
      <c r="F264" s="144"/>
    </row>
    <row r="265">
      <c r="A265" s="147"/>
      <c r="B265" s="145"/>
      <c r="C265" s="145"/>
      <c r="E265" s="144"/>
      <c r="F265" s="144"/>
    </row>
    <row r="266">
      <c r="A266" s="147"/>
      <c r="B266" s="145"/>
      <c r="C266" s="145"/>
      <c r="E266" s="144"/>
      <c r="F266" s="144"/>
    </row>
    <row r="267">
      <c r="A267" s="147"/>
      <c r="B267" s="145"/>
      <c r="C267" s="145"/>
      <c r="E267" s="144"/>
      <c r="F267" s="144"/>
    </row>
    <row r="268">
      <c r="A268" s="147"/>
      <c r="B268" s="145"/>
      <c r="C268" s="145"/>
      <c r="E268" s="144"/>
      <c r="F268" s="144"/>
    </row>
    <row r="269">
      <c r="A269" s="147"/>
      <c r="B269" s="145"/>
      <c r="C269" s="145"/>
      <c r="E269" s="144"/>
      <c r="F269" s="144"/>
    </row>
    <row r="270">
      <c r="A270" s="147"/>
      <c r="B270" s="145"/>
      <c r="C270" s="145"/>
      <c r="E270" s="144"/>
      <c r="F270" s="144"/>
    </row>
    <row r="271">
      <c r="A271" s="147"/>
      <c r="B271" s="145"/>
      <c r="C271" s="145"/>
      <c r="E271" s="144"/>
      <c r="F271" s="144"/>
    </row>
    <row r="272">
      <c r="A272" s="147"/>
      <c r="B272" s="145"/>
      <c r="C272" s="145"/>
      <c r="E272" s="144"/>
      <c r="F272" s="144"/>
    </row>
    <row r="273">
      <c r="A273" s="147"/>
      <c r="B273" s="145"/>
      <c r="C273" s="145"/>
      <c r="E273" s="144"/>
      <c r="F273" s="144"/>
    </row>
    <row r="274">
      <c r="A274" s="147"/>
      <c r="B274" s="145"/>
      <c r="C274" s="145"/>
      <c r="E274" s="144"/>
      <c r="F274" s="144"/>
    </row>
    <row r="275">
      <c r="A275" s="147"/>
      <c r="B275" s="145"/>
      <c r="C275" s="145"/>
      <c r="E275" s="144"/>
      <c r="F275" s="144"/>
    </row>
    <row r="276">
      <c r="A276" s="147"/>
      <c r="B276" s="145"/>
      <c r="C276" s="145"/>
      <c r="E276" s="144"/>
      <c r="F276" s="144"/>
    </row>
    <row r="277">
      <c r="A277" s="147"/>
      <c r="B277" s="145"/>
      <c r="C277" s="145"/>
      <c r="E277" s="144"/>
      <c r="F277" s="144"/>
    </row>
    <row r="278">
      <c r="A278" s="147"/>
      <c r="B278" s="145"/>
      <c r="C278" s="145"/>
      <c r="E278" s="144"/>
      <c r="F278" s="144"/>
    </row>
    <row r="279">
      <c r="A279" s="147"/>
      <c r="B279" s="145"/>
      <c r="C279" s="145"/>
      <c r="E279" s="144"/>
      <c r="F279" s="144"/>
    </row>
    <row r="280">
      <c r="A280" s="147"/>
      <c r="B280" s="145"/>
      <c r="C280" s="145"/>
      <c r="E280" s="144"/>
      <c r="F280" s="144"/>
    </row>
    <row r="281">
      <c r="A281" s="147"/>
      <c r="B281" s="145"/>
      <c r="C281" s="145"/>
      <c r="E281" s="144"/>
      <c r="F281" s="144"/>
    </row>
    <row r="282">
      <c r="A282" s="147"/>
      <c r="B282" s="145"/>
      <c r="C282" s="145"/>
      <c r="E282" s="144"/>
      <c r="F282" s="144"/>
    </row>
    <row r="283">
      <c r="A283" s="147"/>
      <c r="B283" s="145"/>
      <c r="C283" s="145"/>
      <c r="E283" s="144"/>
      <c r="F283" s="144"/>
    </row>
    <row r="284">
      <c r="A284" s="147"/>
      <c r="B284" s="145"/>
      <c r="C284" s="145"/>
      <c r="E284" s="144"/>
      <c r="F284" s="144"/>
    </row>
    <row r="285">
      <c r="A285" s="147"/>
      <c r="B285" s="145"/>
      <c r="C285" s="145"/>
      <c r="E285" s="144"/>
      <c r="F285" s="144"/>
    </row>
    <row r="286">
      <c r="A286" s="147"/>
      <c r="B286" s="145"/>
      <c r="C286" s="145"/>
      <c r="E286" s="144"/>
      <c r="F286" s="144"/>
    </row>
    <row r="287">
      <c r="A287" s="147"/>
      <c r="B287" s="145"/>
      <c r="C287" s="145"/>
      <c r="E287" s="144"/>
      <c r="F287" s="144"/>
    </row>
    <row r="288">
      <c r="A288" s="147"/>
      <c r="B288" s="145"/>
      <c r="C288" s="145"/>
      <c r="E288" s="144"/>
      <c r="F288" s="144"/>
    </row>
    <row r="289">
      <c r="A289" s="147"/>
      <c r="B289" s="145"/>
      <c r="C289" s="145"/>
      <c r="E289" s="144"/>
      <c r="F289" s="144"/>
    </row>
    <row r="290">
      <c r="A290" s="147"/>
      <c r="B290" s="145"/>
      <c r="C290" s="145"/>
      <c r="E290" s="144"/>
      <c r="F290" s="144"/>
    </row>
    <row r="291">
      <c r="A291" s="147"/>
      <c r="B291" s="145"/>
      <c r="C291" s="145"/>
      <c r="E291" s="144"/>
      <c r="F291" s="144"/>
    </row>
    <row r="292">
      <c r="A292" s="147"/>
      <c r="B292" s="145"/>
      <c r="C292" s="145"/>
      <c r="E292" s="144"/>
      <c r="F292" s="144"/>
    </row>
    <row r="293">
      <c r="A293" s="147"/>
      <c r="B293" s="145"/>
      <c r="C293" s="145"/>
      <c r="E293" s="144"/>
      <c r="F293" s="144"/>
    </row>
    <row r="294">
      <c r="A294" s="147"/>
      <c r="B294" s="145"/>
      <c r="C294" s="145"/>
      <c r="E294" s="144"/>
      <c r="F294" s="144"/>
    </row>
    <row r="295">
      <c r="A295" s="147"/>
      <c r="B295" s="145"/>
      <c r="C295" s="145"/>
      <c r="E295" s="144"/>
      <c r="F295" s="144"/>
    </row>
    <row r="296">
      <c r="A296" s="147"/>
      <c r="B296" s="145"/>
      <c r="C296" s="145"/>
      <c r="E296" s="144"/>
      <c r="F296" s="144"/>
    </row>
    <row r="297">
      <c r="A297" s="147"/>
      <c r="B297" s="145"/>
      <c r="C297" s="145"/>
      <c r="E297" s="144"/>
      <c r="F297" s="144"/>
    </row>
    <row r="298">
      <c r="A298" s="147"/>
      <c r="B298" s="145"/>
      <c r="C298" s="145"/>
      <c r="E298" s="144"/>
      <c r="F298" s="144"/>
    </row>
    <row r="299">
      <c r="A299" s="147"/>
      <c r="B299" s="145"/>
      <c r="C299" s="145"/>
      <c r="E299" s="144"/>
      <c r="F299" s="144"/>
    </row>
    <row r="300">
      <c r="A300" s="147"/>
      <c r="B300" s="145"/>
      <c r="C300" s="145"/>
      <c r="E300" s="144"/>
      <c r="F300" s="144"/>
    </row>
    <row r="301">
      <c r="A301" s="147"/>
      <c r="B301" s="145"/>
      <c r="C301" s="145"/>
      <c r="E301" s="144"/>
      <c r="F301" s="144"/>
    </row>
    <row r="302">
      <c r="A302" s="147"/>
      <c r="B302" s="145"/>
      <c r="C302" s="145"/>
      <c r="E302" s="144"/>
      <c r="F302" s="144"/>
    </row>
    <row r="303">
      <c r="A303" s="147"/>
      <c r="B303" s="145"/>
      <c r="C303" s="145"/>
      <c r="E303" s="144"/>
      <c r="F303" s="144"/>
    </row>
    <row r="304">
      <c r="A304" s="147"/>
      <c r="B304" s="145"/>
      <c r="C304" s="145"/>
      <c r="E304" s="144"/>
      <c r="F304" s="144"/>
    </row>
    <row r="305">
      <c r="A305" s="147"/>
      <c r="B305" s="145"/>
      <c r="C305" s="145"/>
      <c r="E305" s="144"/>
      <c r="F305" s="144"/>
    </row>
    <row r="306">
      <c r="A306" s="147"/>
      <c r="B306" s="145"/>
      <c r="C306" s="145"/>
      <c r="E306" s="144"/>
      <c r="F306" s="144"/>
    </row>
    <row r="307">
      <c r="A307" s="147"/>
      <c r="B307" s="145"/>
      <c r="C307" s="145"/>
      <c r="E307" s="144"/>
      <c r="F307" s="144"/>
    </row>
    <row r="308">
      <c r="A308" s="147"/>
      <c r="B308" s="145"/>
      <c r="C308" s="145"/>
      <c r="E308" s="144"/>
      <c r="F308" s="144"/>
    </row>
    <row r="309">
      <c r="A309" s="147"/>
      <c r="B309" s="145"/>
      <c r="C309" s="145"/>
      <c r="E309" s="144"/>
      <c r="F309" s="144"/>
    </row>
    <row r="310">
      <c r="A310" s="147"/>
      <c r="B310" s="145"/>
      <c r="C310" s="145"/>
      <c r="E310" s="144"/>
      <c r="F310" s="144"/>
    </row>
    <row r="311">
      <c r="A311" s="147"/>
      <c r="B311" s="145"/>
      <c r="C311" s="145"/>
      <c r="E311" s="144"/>
      <c r="F311" s="144"/>
    </row>
    <row r="312">
      <c r="A312" s="147"/>
      <c r="B312" s="145"/>
      <c r="C312" s="145"/>
      <c r="E312" s="144"/>
      <c r="F312" s="144"/>
    </row>
    <row r="313">
      <c r="A313" s="147"/>
      <c r="B313" s="145"/>
      <c r="C313" s="145"/>
      <c r="E313" s="144"/>
      <c r="F313" s="144"/>
    </row>
    <row r="314">
      <c r="A314" s="147"/>
      <c r="B314" s="145"/>
      <c r="C314" s="145"/>
      <c r="E314" s="144"/>
      <c r="F314" s="144"/>
    </row>
    <row r="315">
      <c r="A315" s="147"/>
      <c r="B315" s="145"/>
      <c r="C315" s="145"/>
      <c r="E315" s="144"/>
      <c r="F315" s="144"/>
    </row>
    <row r="316">
      <c r="A316" s="147"/>
      <c r="B316" s="145"/>
      <c r="C316" s="145"/>
      <c r="E316" s="144"/>
      <c r="F316" s="144"/>
    </row>
    <row r="317">
      <c r="A317" s="147"/>
      <c r="B317" s="145"/>
      <c r="C317" s="145"/>
      <c r="E317" s="144"/>
      <c r="F317" s="144"/>
    </row>
    <row r="318">
      <c r="A318" s="147"/>
      <c r="B318" s="145"/>
      <c r="C318" s="145"/>
      <c r="E318" s="144"/>
      <c r="F318" s="144"/>
    </row>
    <row r="319">
      <c r="A319" s="147"/>
      <c r="B319" s="145"/>
      <c r="C319" s="145"/>
      <c r="E319" s="144"/>
      <c r="F319" s="144"/>
    </row>
    <row r="320">
      <c r="A320" s="147"/>
      <c r="B320" s="145"/>
      <c r="C320" s="145"/>
      <c r="E320" s="144"/>
      <c r="F320" s="144"/>
    </row>
    <row r="321">
      <c r="A321" s="147"/>
      <c r="B321" s="145"/>
      <c r="C321" s="145"/>
      <c r="E321" s="144"/>
      <c r="F321" s="144"/>
    </row>
    <row r="322">
      <c r="A322" s="147"/>
      <c r="B322" s="145"/>
      <c r="C322" s="145"/>
      <c r="E322" s="144"/>
      <c r="F322" s="144"/>
    </row>
    <row r="323">
      <c r="A323" s="147"/>
      <c r="B323" s="145"/>
      <c r="C323" s="145"/>
      <c r="E323" s="144"/>
      <c r="F323" s="144"/>
    </row>
    <row r="324">
      <c r="A324" s="147"/>
      <c r="B324" s="145"/>
      <c r="C324" s="145"/>
      <c r="E324" s="144"/>
      <c r="F324" s="144"/>
    </row>
    <row r="325">
      <c r="A325" s="147"/>
      <c r="B325" s="145"/>
      <c r="C325" s="145"/>
      <c r="E325" s="144"/>
      <c r="F325" s="144"/>
    </row>
    <row r="326">
      <c r="A326" s="147"/>
      <c r="B326" s="145"/>
      <c r="C326" s="145"/>
      <c r="E326" s="144"/>
      <c r="F326" s="144"/>
    </row>
    <row r="327">
      <c r="A327" s="147"/>
      <c r="B327" s="145"/>
      <c r="C327" s="145"/>
      <c r="E327" s="144"/>
      <c r="F327" s="144"/>
    </row>
    <row r="328">
      <c r="A328" s="147"/>
      <c r="B328" s="145"/>
      <c r="C328" s="145"/>
      <c r="E328" s="144"/>
      <c r="F328" s="144"/>
    </row>
    <row r="329">
      <c r="A329" s="147"/>
      <c r="B329" s="145"/>
      <c r="C329" s="145"/>
      <c r="E329" s="144"/>
      <c r="F329" s="144"/>
    </row>
    <row r="330">
      <c r="A330" s="147"/>
      <c r="B330" s="145"/>
      <c r="C330" s="145"/>
      <c r="E330" s="144"/>
      <c r="F330" s="144"/>
    </row>
    <row r="331">
      <c r="A331" s="147"/>
      <c r="B331" s="145"/>
      <c r="C331" s="145"/>
      <c r="E331" s="144"/>
      <c r="F331" s="144"/>
    </row>
    <row r="332">
      <c r="A332" s="147"/>
      <c r="B332" s="145"/>
      <c r="C332" s="145"/>
      <c r="E332" s="144"/>
      <c r="F332" s="144"/>
    </row>
    <row r="333">
      <c r="A333" s="147"/>
      <c r="B333" s="145"/>
      <c r="C333" s="145"/>
      <c r="E333" s="144"/>
      <c r="F333" s="144"/>
    </row>
    <row r="334">
      <c r="A334" s="147"/>
      <c r="B334" s="145"/>
      <c r="C334" s="145"/>
      <c r="E334" s="144"/>
      <c r="F334" s="144"/>
    </row>
    <row r="335">
      <c r="A335" s="147"/>
      <c r="B335" s="145"/>
      <c r="C335" s="145"/>
      <c r="E335" s="144"/>
      <c r="F335" s="144"/>
    </row>
    <row r="336">
      <c r="A336" s="147"/>
      <c r="B336" s="145"/>
      <c r="C336" s="145"/>
      <c r="E336" s="144"/>
      <c r="F336" s="144"/>
    </row>
    <row r="337">
      <c r="A337" s="147"/>
      <c r="B337" s="145"/>
      <c r="C337" s="145"/>
      <c r="E337" s="144"/>
      <c r="F337" s="144"/>
    </row>
    <row r="338">
      <c r="A338" s="147"/>
      <c r="B338" s="145"/>
      <c r="C338" s="145"/>
      <c r="E338" s="144"/>
      <c r="F338" s="144"/>
    </row>
    <row r="339">
      <c r="A339" s="147"/>
      <c r="B339" s="145"/>
      <c r="C339" s="145"/>
      <c r="E339" s="144"/>
      <c r="F339" s="144"/>
    </row>
    <row r="340">
      <c r="A340" s="147"/>
      <c r="B340" s="145"/>
      <c r="C340" s="145"/>
      <c r="E340" s="144"/>
      <c r="F340" s="144"/>
    </row>
    <row r="341">
      <c r="A341" s="147"/>
      <c r="B341" s="145"/>
      <c r="C341" s="145"/>
      <c r="E341" s="144"/>
      <c r="F341" s="144"/>
    </row>
    <row r="342">
      <c r="A342" s="147"/>
      <c r="B342" s="145"/>
      <c r="C342" s="145"/>
      <c r="E342" s="144"/>
      <c r="F342" s="144"/>
    </row>
    <row r="343">
      <c r="A343" s="147"/>
      <c r="B343" s="145"/>
      <c r="C343" s="145"/>
      <c r="E343" s="144"/>
      <c r="F343" s="144"/>
    </row>
    <row r="344">
      <c r="A344" s="147"/>
      <c r="B344" s="145"/>
      <c r="C344" s="145"/>
      <c r="E344" s="144"/>
      <c r="F344" s="144"/>
    </row>
    <row r="345">
      <c r="A345" s="147"/>
      <c r="B345" s="145"/>
      <c r="C345" s="145"/>
      <c r="E345" s="144"/>
      <c r="F345" s="144"/>
    </row>
    <row r="346">
      <c r="A346" s="147"/>
      <c r="B346" s="145"/>
      <c r="C346" s="145"/>
      <c r="E346" s="144"/>
      <c r="F346" s="144"/>
    </row>
    <row r="347">
      <c r="A347" s="147"/>
      <c r="B347" s="145"/>
      <c r="C347" s="145"/>
      <c r="E347" s="144"/>
      <c r="F347" s="144"/>
    </row>
    <row r="348">
      <c r="A348" s="147"/>
      <c r="B348" s="145"/>
      <c r="C348" s="145"/>
      <c r="E348" s="144"/>
      <c r="F348" s="144"/>
    </row>
    <row r="349">
      <c r="A349" s="147"/>
      <c r="B349" s="145"/>
      <c r="C349" s="145"/>
      <c r="E349" s="144"/>
      <c r="F349" s="144"/>
    </row>
    <row r="350">
      <c r="A350" s="147"/>
      <c r="B350" s="145"/>
      <c r="C350" s="145"/>
      <c r="E350" s="144"/>
      <c r="F350" s="144"/>
    </row>
    <row r="351">
      <c r="A351" s="147"/>
      <c r="B351" s="145"/>
      <c r="C351" s="145"/>
      <c r="E351" s="144"/>
      <c r="F351" s="144"/>
    </row>
    <row r="352">
      <c r="A352" s="147"/>
      <c r="B352" s="145"/>
      <c r="C352" s="145"/>
      <c r="E352" s="144"/>
      <c r="F352" s="144"/>
    </row>
    <row r="353">
      <c r="A353" s="147"/>
      <c r="B353" s="145"/>
      <c r="C353" s="145"/>
      <c r="E353" s="144"/>
      <c r="F353" s="144"/>
    </row>
    <row r="354">
      <c r="A354" s="147"/>
      <c r="B354" s="145"/>
      <c r="C354" s="145"/>
      <c r="E354" s="144"/>
      <c r="F354" s="144"/>
    </row>
    <row r="355">
      <c r="A355" s="147"/>
      <c r="B355" s="145"/>
      <c r="C355" s="145"/>
      <c r="E355" s="144"/>
      <c r="F355" s="144"/>
    </row>
    <row r="356">
      <c r="A356" s="147"/>
      <c r="B356" s="145"/>
      <c r="C356" s="145"/>
      <c r="E356" s="144"/>
      <c r="F356" s="144"/>
    </row>
    <row r="357">
      <c r="A357" s="147"/>
      <c r="B357" s="145"/>
      <c r="C357" s="145"/>
      <c r="E357" s="144"/>
      <c r="F357" s="144"/>
    </row>
    <row r="358">
      <c r="A358" s="147"/>
      <c r="B358" s="145"/>
      <c r="C358" s="145"/>
      <c r="E358" s="144"/>
      <c r="F358" s="144"/>
    </row>
    <row r="359">
      <c r="A359" s="147"/>
      <c r="B359" s="145"/>
      <c r="C359" s="145"/>
      <c r="E359" s="144"/>
      <c r="F359" s="144"/>
    </row>
    <row r="360">
      <c r="A360" s="147"/>
      <c r="B360" s="145"/>
      <c r="C360" s="145"/>
      <c r="E360" s="144"/>
      <c r="F360" s="144"/>
    </row>
    <row r="361">
      <c r="A361" s="147"/>
      <c r="B361" s="145"/>
      <c r="C361" s="145"/>
      <c r="E361" s="144"/>
      <c r="F361" s="144"/>
    </row>
    <row r="362">
      <c r="A362" s="147"/>
      <c r="B362" s="145"/>
      <c r="C362" s="145"/>
      <c r="E362" s="144"/>
      <c r="F362" s="144"/>
    </row>
    <row r="363">
      <c r="A363" s="147"/>
      <c r="B363" s="145"/>
      <c r="C363" s="145"/>
      <c r="E363" s="144"/>
      <c r="F363" s="144"/>
    </row>
    <row r="364">
      <c r="A364" s="147"/>
      <c r="B364" s="145"/>
      <c r="C364" s="145"/>
      <c r="E364" s="144"/>
      <c r="F364" s="144"/>
    </row>
    <row r="365">
      <c r="A365" s="147"/>
      <c r="B365" s="145"/>
      <c r="C365" s="145"/>
      <c r="E365" s="144"/>
      <c r="F365" s="144"/>
    </row>
    <row r="366">
      <c r="A366" s="147"/>
      <c r="B366" s="145"/>
      <c r="C366" s="145"/>
      <c r="E366" s="144"/>
      <c r="F366" s="144"/>
    </row>
    <row r="367">
      <c r="A367" s="147"/>
      <c r="B367" s="145"/>
      <c r="C367" s="145"/>
      <c r="E367" s="144"/>
      <c r="F367" s="144"/>
    </row>
    <row r="368">
      <c r="A368" s="147"/>
      <c r="B368" s="145"/>
      <c r="C368" s="145"/>
      <c r="E368" s="144"/>
      <c r="F368" s="144"/>
    </row>
    <row r="369">
      <c r="A369" s="147"/>
      <c r="B369" s="145"/>
      <c r="C369" s="145"/>
      <c r="E369" s="144"/>
      <c r="F369" s="144"/>
    </row>
    <row r="370">
      <c r="A370" s="147"/>
      <c r="B370" s="145"/>
      <c r="C370" s="145"/>
      <c r="E370" s="144"/>
      <c r="F370" s="144"/>
    </row>
    <row r="371">
      <c r="A371" s="147"/>
      <c r="B371" s="145"/>
      <c r="C371" s="145"/>
      <c r="E371" s="144"/>
      <c r="F371" s="144"/>
    </row>
    <row r="372">
      <c r="A372" s="147"/>
      <c r="B372" s="145"/>
      <c r="C372" s="145"/>
      <c r="E372" s="144"/>
      <c r="F372" s="144"/>
    </row>
    <row r="373">
      <c r="A373" s="147"/>
      <c r="B373" s="145"/>
      <c r="C373" s="145"/>
      <c r="E373" s="144"/>
      <c r="F373" s="144"/>
    </row>
    <row r="374">
      <c r="A374" s="147"/>
      <c r="B374" s="145"/>
      <c r="C374" s="145"/>
      <c r="E374" s="144"/>
      <c r="F374" s="144"/>
    </row>
    <row r="375">
      <c r="A375" s="147"/>
      <c r="B375" s="145"/>
      <c r="C375" s="145"/>
      <c r="E375" s="144"/>
      <c r="F375" s="144"/>
    </row>
    <row r="376">
      <c r="A376" s="147"/>
      <c r="B376" s="145"/>
      <c r="C376" s="145"/>
      <c r="E376" s="144"/>
      <c r="F376" s="144"/>
    </row>
    <row r="377">
      <c r="A377" s="147"/>
      <c r="B377" s="145"/>
      <c r="C377" s="145"/>
      <c r="E377" s="144"/>
      <c r="F377" s="144"/>
    </row>
    <row r="378">
      <c r="A378" s="147"/>
      <c r="B378" s="145"/>
      <c r="C378" s="145"/>
      <c r="E378" s="144"/>
      <c r="F378" s="144"/>
    </row>
    <row r="379">
      <c r="A379" s="147"/>
      <c r="B379" s="145"/>
      <c r="C379" s="145"/>
      <c r="E379" s="144"/>
      <c r="F379" s="144"/>
    </row>
    <row r="380">
      <c r="A380" s="147"/>
      <c r="B380" s="145"/>
      <c r="C380" s="145"/>
      <c r="E380" s="144"/>
      <c r="F380" s="144"/>
    </row>
    <row r="381">
      <c r="A381" s="147"/>
      <c r="B381" s="145"/>
      <c r="C381" s="145"/>
      <c r="E381" s="144"/>
      <c r="F381" s="144"/>
    </row>
    <row r="382">
      <c r="A382" s="147"/>
      <c r="B382" s="145"/>
      <c r="C382" s="145"/>
      <c r="E382" s="144"/>
      <c r="F382" s="144"/>
    </row>
    <row r="383">
      <c r="A383" s="147"/>
      <c r="B383" s="145"/>
      <c r="C383" s="145"/>
      <c r="E383" s="144"/>
      <c r="F383" s="144"/>
    </row>
    <row r="384">
      <c r="A384" s="147"/>
      <c r="B384" s="145"/>
      <c r="C384" s="145"/>
      <c r="E384" s="144"/>
      <c r="F384" s="144"/>
    </row>
    <row r="385">
      <c r="A385" s="147"/>
      <c r="B385" s="145"/>
      <c r="C385" s="145"/>
      <c r="E385" s="144"/>
      <c r="F385" s="144"/>
    </row>
    <row r="386">
      <c r="A386" s="147"/>
      <c r="B386" s="145"/>
      <c r="C386" s="145"/>
      <c r="E386" s="144"/>
      <c r="F386" s="144"/>
    </row>
    <row r="387">
      <c r="A387" s="147"/>
      <c r="B387" s="145"/>
      <c r="C387" s="145"/>
      <c r="E387" s="144"/>
      <c r="F387" s="144"/>
    </row>
    <row r="388">
      <c r="A388" s="147"/>
      <c r="B388" s="145"/>
      <c r="C388" s="145"/>
      <c r="E388" s="144"/>
      <c r="F388" s="144"/>
    </row>
    <row r="389">
      <c r="A389" s="147"/>
      <c r="B389" s="145"/>
      <c r="C389" s="145"/>
      <c r="E389" s="144"/>
      <c r="F389" s="144"/>
    </row>
    <row r="390">
      <c r="A390" s="147"/>
      <c r="B390" s="145"/>
      <c r="C390" s="145"/>
      <c r="E390" s="144"/>
      <c r="F390" s="144"/>
    </row>
    <row r="391">
      <c r="A391" s="147"/>
      <c r="B391" s="145"/>
      <c r="C391" s="145"/>
      <c r="E391" s="144"/>
      <c r="F391" s="144"/>
    </row>
    <row r="392">
      <c r="A392" s="147"/>
      <c r="B392" s="145"/>
      <c r="C392" s="145"/>
      <c r="E392" s="144"/>
      <c r="F392" s="144"/>
    </row>
    <row r="393">
      <c r="A393" s="147"/>
      <c r="B393" s="145"/>
      <c r="C393" s="145"/>
      <c r="E393" s="144"/>
      <c r="F393" s="144"/>
    </row>
    <row r="394">
      <c r="A394" s="147"/>
      <c r="B394" s="145"/>
      <c r="C394" s="145"/>
      <c r="E394" s="144"/>
      <c r="F394" s="144"/>
    </row>
    <row r="395">
      <c r="A395" s="147"/>
      <c r="B395" s="145"/>
      <c r="C395" s="145"/>
      <c r="E395" s="144"/>
      <c r="F395" s="144"/>
    </row>
    <row r="396">
      <c r="A396" s="147"/>
      <c r="B396" s="145"/>
      <c r="C396" s="145"/>
      <c r="E396" s="144"/>
      <c r="F396" s="144"/>
    </row>
    <row r="397">
      <c r="A397" s="147"/>
      <c r="B397" s="145"/>
      <c r="C397" s="145"/>
      <c r="E397" s="144"/>
      <c r="F397" s="144"/>
    </row>
    <row r="398">
      <c r="A398" s="147"/>
      <c r="B398" s="145"/>
      <c r="C398" s="145"/>
      <c r="E398" s="144"/>
      <c r="F398" s="144"/>
    </row>
    <row r="399">
      <c r="A399" s="147"/>
      <c r="B399" s="145"/>
      <c r="C399" s="145"/>
      <c r="E399" s="144"/>
      <c r="F399" s="144"/>
    </row>
    <row r="400">
      <c r="A400" s="147"/>
      <c r="B400" s="145"/>
      <c r="C400" s="145"/>
      <c r="E400" s="144"/>
      <c r="F400" s="144"/>
    </row>
    <row r="401">
      <c r="A401" s="147"/>
      <c r="B401" s="145"/>
      <c r="C401" s="145"/>
      <c r="E401" s="144"/>
      <c r="F401" s="144"/>
    </row>
    <row r="402">
      <c r="A402" s="147"/>
      <c r="B402" s="145"/>
      <c r="C402" s="145"/>
      <c r="E402" s="144"/>
      <c r="F402" s="144"/>
    </row>
    <row r="403">
      <c r="A403" s="147"/>
      <c r="B403" s="145"/>
      <c r="C403" s="145"/>
      <c r="E403" s="144"/>
      <c r="F403" s="144"/>
    </row>
    <row r="404">
      <c r="A404" s="147"/>
      <c r="B404" s="145"/>
      <c r="C404" s="145"/>
      <c r="E404" s="144"/>
      <c r="F404" s="144"/>
    </row>
    <row r="405">
      <c r="A405" s="147"/>
      <c r="B405" s="145"/>
      <c r="C405" s="145"/>
      <c r="E405" s="144"/>
      <c r="F405" s="144"/>
    </row>
    <row r="406">
      <c r="A406" s="147"/>
      <c r="B406" s="145"/>
      <c r="C406" s="145"/>
      <c r="F406" s="144"/>
    </row>
    <row r="407">
      <c r="A407" s="147"/>
      <c r="B407" s="145"/>
      <c r="F407" s="144"/>
    </row>
    <row r="408">
      <c r="A408" s="147"/>
      <c r="B408" s="145"/>
      <c r="F408" s="144"/>
    </row>
  </sheetData>
  <mergeCells>
    <mergeCell ref="F68:F69"/>
    <mergeCell ref="F97:F100"/>
    <mergeCell ref="A68:A69"/>
    <mergeCell ref="B68:B69"/>
    <mergeCell ref="C68:C69"/>
    <mergeCell ref="D68:D69"/>
    <mergeCell ref="E68:E69"/>
    <mergeCell ref="A1:F1"/>
    <mergeCell ref="A46:A52"/>
    <mergeCell ref="B46:B52"/>
    <mergeCell ref="C46:C52"/>
    <mergeCell ref="D46:D52"/>
    <mergeCell ref="E46:E52"/>
    <mergeCell ref="F46:F52"/>
  </mergeCells>
  <phoneticPr fontId="6" type="noConversion"/>
  <pageMargins left="0.7" right="0.7" top="0.75" bottom="0.75" header="0.3" footer="0.3"/>
  <pageSetup paperSize="9" orientation="portrait"/>
  <headerFooter/>
  <drawing r:id="rId1"/>
</worksheet>
</file>

<file path=customXml/_rels/item1.xml.rels><?xml version="1.0" encoding="UTF-8" standalone="yes"?><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SC xmlns="29024c6e-6e7a-4eb4-a9e3-b8ae7ece35fd">1</CSC>
    <RB_DMS_ORIG_NAME xmlns="http://schemas.microsoft.com/sharepoint/v3">STS_System_Test_Specification_PrjName.xlsm</RB_DMS_ORIG_NAME>
    <RB_DMS_SAP_METADATA xmlns="http://schemas.microsoft.com/sharepoint/v3">{"commentcount":"0","contenttype":"application/vnd.ms-excel.sheet.macroenabled.12","created":"2017-04-28 09:45:12","rb_ilm_has_versions":"true","ImageSource":"/department_shares1/98/50610759/02_publish/03_TEPG/01_TestExecution/images/STS_System_Test_Specification_PrjName.xlsm.img","feedbackcount":"0","readonly":"false","IconRolloverSource":"/department_shares1/98/50610759/02_publish/03_TEPG/01_TestExecution/images/STS_System_Test_Specification_PrjName.xlsm.icr","rb_ilm_retention_time":"0","createdby":"LIF1WHU","displayname":"STS_System_Test_Specification_PrjName.xlsm","etag":"65451008385771","IconSource":"/department_shares1/98/50610759/02_publish/03_TEPG/01_TestExecution/images/STS_System_Test_Specification_PrjName.xlsm.ico","ilm_vcr_resource_guid":"/guid/6008e768-973e-3510-6ebb-c13b57014be1","contentlength":"137594","rb_ilm_type":"misc_no_archiving","personalnotecount":"0","rb_ilm_status":"valid","hidden":"false","modifiedby":"LIF1WHU","modified":"2018-08-22 10:21:00","ilm_filetype":"conceptional","rb_ilm_security_class":"1","guid":"e0e00889-140e-3510-279a-b8b0d1aa63c2","rb_historicalRelevance":"No"}</RB_DMS_SAP_METADATA>
    <ASC xmlns="29024c6e-6e7a-4eb4-a9e3-b8ae7ece35fd">1</ASC>
    <b3e1145332514002a9a2e99bacfa1609 xmlns="29024c6e-6e7a-4eb4-a9e3-b8ae7ece35fd">
      <Terms xmlns="http://schemas.microsoft.com/office/infopath/2007/PartnerControls"/>
    </b3e1145332514002a9a2e99bacfa1609>
    <TaxCatchAll xmlns="29024c6e-6e7a-4eb4-a9e3-b8ae7ece35fd"/>
    <IconOverlay xmlns="http://schemas.microsoft.com/sharepoint/v4" xsi:nil="true"/>
    <RB_DMS_KM_GUID xmlns="http://schemas.microsoft.com/sharepoint/v3">e0e00889-140e-3510-279a-b8b0d1aa63c2</RB_DMS_KM_GUID>
    <RB_DMS_ORIG_RID xmlns="http://schemas.microsoft.com/sharepoint/v3">/department_shares1/98/50610759/02_publish/03_TEPG/01_TestExecution/STS_System_Test_Specification_PrjName.xlsm</RB_DMS_ORIG_RID>
    <ISC xmlns="29024c6e-6e7a-4eb4-a9e3-b8ae7ece35fd">1</ISC>
    <ArchivingPeriod xmlns="29024c6e-6e7a-4eb4-a9e3-b8ae7ece35fd">Delete when archiving</ArchivingPeriod>
    <Safeguarding xmlns="29024c6e-6e7a-4eb4-a9e3-b8ae7ece35fd">No</Safeguarding>
    <Historicalrelevance xmlns="29024c6e-6e7a-4eb4-a9e3-b8ae7ece35fd">No</Historicalrelevance>
    <RB_DMS_MIG_REMARKS xmlns="http://schemas.microsoft.com/sharepoint/v3" xsi:nil="true"/>
    <_dlc_DocId xmlns="29024c6e-6e7a-4eb4-a9e3-b8ae7ece35fd">P12S099956-1156172195-1403</_dlc_DocId>
    <_dlc_DocIdUrl xmlns="29024c6e-6e7a-4eb4-a9e3-b8ae7ece35fd">
      <Url>https://sites.inside-share2.bosch.com/sites/099956/_layouts/15/DocIdRedir.aspx?ID=P12S099956-1156172195-1403</Url>
      <Description>P12S099956-1156172195-1403</Description>
    </_dlc_DocIdUrl>
    <Revisions xmlns="29024c6e-6e7a-4eb4-a9e3-b8ae7ece35fd">
      <Url>https://inside-share-hosted-apps.bosch.com/DMS/GetDocumentService/Document.svc/GetDocumentURL?documentID=P12S099956-1156172195-1404</Url>
      <Description>STS_System_Test_Specification_PrjName.xlsm(1)</Description>
    </Revisions>
    <ILMCreationRevision xmlns="29024c6e-6e7a-4eb4-a9e3-b8ae7ece35fd">false</ILMCreationRevision>
    <IlmBasedOn xmlns="29024c6e-6e7a-4eb4-a9e3-b8ae7ece35fd">2.0</IlmBasedOn>
  </documentManagement>
</p:properties>
</file>

<file path=customXml/item4.xml><?xml version="1.0" encoding="utf-8"?>
<ct:contentTypeSchema xmlns:ct="http://schemas.microsoft.com/office/2006/metadata/contentType" xmlns:ma="http://schemas.microsoft.com/office/2006/metadata/properties/metaAttributes" ct:_="" ma:_="" ma:contentTypeName="ILMBoschDocument" ma:contentTypeID="0x010100F66F57A3912B1147B9062F7E8858770F0100BD5DB63194A808409C7B60849148B63E" ma:contentTypeVersion="14" ma:contentTypeDescription="Bosch Document Content Type for ILM" ma:contentTypeScope="" ma:versionID="99fcd9a4416d4f64447e79c51c07d6b3">
  <xsd:schema xmlns:xsd="http://www.w3.org/2001/XMLSchema" xmlns:xs="http://www.w3.org/2001/XMLSchema" xmlns:p="http://schemas.microsoft.com/office/2006/metadata/properties" xmlns:ns1="http://schemas.microsoft.com/sharepoint/v3" xmlns:ns2="29024c6e-6e7a-4eb4-a9e3-b8ae7ece35fd" xmlns:ns3="http://schemas.microsoft.com/sharepoint/v4" targetNamespace="http://schemas.microsoft.com/office/2006/metadata/properties" ma:root="true" ma:fieldsID="c16f2d054624f77462f792f2bca00e08" ns1:_="" ns2:_="" ns3:_="">
    <xsd:import namespace="http://schemas.microsoft.com/sharepoint/v3"/>
    <xsd:import namespace="29024c6e-6e7a-4eb4-a9e3-b8ae7ece35fd"/>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b3e1145332514002a9a2e99bacfa1609"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1:RB_DMS_KM_GUID" minOccurs="0"/>
                <xsd:element ref="ns1:RB_DMS_ORIG_NAME" minOccurs="0"/>
                <xsd:element ref="ns1:RB_DMS_ORIG_RID" minOccurs="0"/>
                <xsd:element ref="ns1:RB_DMS_MIG_REMARKS" minOccurs="0"/>
                <xsd:element ref="ns1:RB_DMS_SAP_METADATA" minOccurs="0"/>
                <xsd:element ref="ns3:IconOverlay" minOccurs="0"/>
                <xsd:element ref="ns1:_vti_ItemDeclaredRecord" minOccurs="0"/>
                <xsd:element ref="ns1:_vti_ItemHoldRecord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B_DMS_KM_GUID" ma:index="27" nillable="true" ma:displayName="Old GUID" ma:internalName="RB_DMS_KM_GUID" ma:readOnly="false">
      <xsd:simpleType>
        <xsd:restriction base="dms:Text"/>
      </xsd:simpleType>
    </xsd:element>
    <xsd:element name="RB_DMS_ORIG_NAME" ma:index="28" nillable="true" ma:displayName="Original Name" ma:internalName="RB_DMS_ORIG_NAME" ma:readOnly="false">
      <xsd:simpleType>
        <xsd:restriction base="dms:Note"/>
      </xsd:simpleType>
    </xsd:element>
    <xsd:element name="RB_DMS_ORIG_RID" ma:index="29" nillable="true" ma:displayName="Original RID" ma:internalName="RB_DMS_ORIG_RID" ma:readOnly="false">
      <xsd:simpleType>
        <xsd:restriction base="dms:Note"/>
      </xsd:simpleType>
    </xsd:element>
    <xsd:element name="RB_DMS_MIG_REMARKS" ma:index="30" nillable="true" ma:displayName="Migration Remarks" ma:internalName="RB_DMS_MIG_REMARKS" ma:readOnly="false">
      <xsd:simpleType>
        <xsd:restriction base="dms:Note"/>
      </xsd:simpleType>
    </xsd:element>
    <xsd:element name="RB_DMS_SAP_METADATA" ma:index="31" nillable="true" ma:displayName="ILM Metadata" ma:internalName="RB_DMS_SAP_METADATA" ma:readOnly="false">
      <xsd:simpleType>
        <xsd:restriction base="dms:Note"/>
      </xsd:simpleType>
    </xsd:element>
    <xsd:element name="_vti_ItemDeclaredRecord" ma:index="33" nillable="true" ma:displayName="Declared Record" ma:hidden="true" ma:internalName="_vti_ItemDeclaredRecord" ma:readOnly="true">
      <xsd:simpleType>
        <xsd:restriction base="dms:DateTime"/>
      </xsd:simpleType>
    </xsd:element>
    <xsd:element name="_vti_ItemHoldRecordStatus" ma:index="34" nillable="true" ma:displayName="Hold and Record Status" ma:decimals="0" ma:hidden="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9024c6e-6e7a-4eb4-a9e3-b8ae7ece35fd"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b3e1145332514002a9a2e99bacfa1609" ma:index="11" nillable="true" ma:taxonomy="true" ma:internalName="b3e1145332514002a9a2e99bacfa1609" ma:taxonomyFieldName="DMSKeywords" ma:displayName="Keywords" ma:fieldId="{b3e11453-3251-4002-a9a2-e99bacfa1609}" ma:sspId="b81b984e-7d9a-4f77-a40b-67f8485df2c3" ma:termSetId="2acc13b3-7364-4d36-a4f1-7b40cd25b02e"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59e23c07-3d9e-44f8-9cf2-39bbaac351d1}" ma:internalName="TaxCatchAll" ma:showField="CatchAllData" ma:web="29024c6e-6e7a-4eb4-a9e3-b8ae7ece35fd">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59e23c07-3d9e-44f8-9cf2-39bbaac351d1}" ma:internalName="TaxCatchAllLabel" ma:readOnly="true" ma:showField="CatchAllDataLabel" ma:web="29024c6e-6e7a-4eb4-a9e3-b8ae7ece35fd">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Important: Documents rated C-SC 3 must be encrypted client-side (e.g. 'Entrust encrypt file...' in windows explorer) before uploading." ma:format="Dropdown"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hidden="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hidden="true"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scription="File will be deleted from the archive after end of the archiving" ma:format="Dropdown"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hidden="true"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2"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7742F2-48DF-4E3B-B8B2-0757CB7653BB}">
  <ds:schemaRefs>
    <ds:schemaRef ds:uri="http://schemas.microsoft.com/sharepoint/events"/>
  </ds:schemaRefs>
</ds:datastoreItem>
</file>

<file path=customXml/itemProps2.xml><?xml version="1.0" encoding="utf-8"?>
<ds:datastoreItem xmlns:ds="http://schemas.openxmlformats.org/officeDocument/2006/customXml" ds:itemID="{ECF39998-1B75-41AF-8F91-CCF3DF3430C6}">
  <ds:schemaRefs>
    <ds:schemaRef ds:uri="http://schemas.microsoft.com/sharepoint/v3/contenttype/forms"/>
  </ds:schemaRefs>
</ds:datastoreItem>
</file>

<file path=customXml/itemProps3.xml><?xml version="1.0" encoding="utf-8"?>
<ds:datastoreItem xmlns:ds="http://schemas.openxmlformats.org/officeDocument/2006/customXml" ds:itemID="{F573BFD8-2D1F-4ECE-8C37-72E28A2CD222}">
  <ds:schemaRefs>
    <ds:schemaRef ds:uri="http://schemas.microsoft.com/office/2006/metadata/properties"/>
    <ds:schemaRef ds:uri="http://schemas.microsoft.com/office/infopath/2007/PartnerControls"/>
    <ds:schemaRef ds:uri="29024c6e-6e7a-4eb4-a9e3-b8ae7ece35fd"/>
    <ds:schemaRef ds:uri="http://schemas.microsoft.com/sharepoint/v3"/>
    <ds:schemaRef ds:uri="http://schemas.microsoft.com/sharepoint/v4"/>
  </ds:schemaRefs>
</ds:datastoreItem>
</file>

<file path=customXml/itemProps4.xml><?xml version="1.0" encoding="utf-8"?>
<ds:datastoreItem xmlns:ds="http://schemas.openxmlformats.org/officeDocument/2006/customXml" ds:itemID="{7505547B-00BB-464C-99DF-03EF5B298A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9024c6e-6e7a-4eb4-a9e3-b8ae7ece35f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Version History</vt:lpstr>
      <vt:lpstr>Summary</vt:lpstr>
      <vt:lpstr>Macro</vt:lpstr>
      <vt:lpstr>Trip</vt:lpstr>
      <vt:lpstr>Check List</vt:lpstr>
      <vt:lpstr>Guidelines</vt:lpstr>
      <vt:lpstr>Info</vt:lpstr>
      <vt:lpstr>Traceability</vt:lpstr>
      <vt:lpstr>Environment</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STS_System_Test_Specification_PrjName.xlsm</dc:title>
  <dc:creator>Ma Lin (BCMW/EST)</dc:creator>
  <cp:lastModifiedBy>YUD1WHU</cp:lastModifiedBy>
  <dcterms:created xsi:type="dcterms:W3CDTF">2006-09-16T00:00:00Z</dcterms:created>
  <dcterms:modified xsi:type="dcterms:W3CDTF">2021-04-15T08:04:25Z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0x010100F66F57A3912B1147B9062F7E8858770F0100BD5DB63194A808409C7B60849148B63E</vt:lpwstr>
  </property>
  <property fmtid="{D5CDD505-2E9C-101B-9397-08002B2CF9AE}" pid="3" name="_dlc_DocIdItemGuid">
    <vt:lpwstr>c7be30cb-ab74-47dd-8123-4d4976f2e541</vt:lpwstr>
  </property>
</Properties>
</file>